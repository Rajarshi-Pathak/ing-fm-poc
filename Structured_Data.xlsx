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gnizantonline-my.sharepoint.com/personal/2335142_cognizant_com/Documents/_Rajarshi/_My Work/BFS/My_Work/ING/"/>
    </mc:Choice>
  </mc:AlternateContent>
  <xr:revisionPtr revIDLastSave="0" documentId="8_{9927F676-3504-4895-9A78-B2AB407738C3}" xr6:coauthVersionLast="47" xr6:coauthVersionMax="47" xr10:uidLastSave="{00000000-0000-0000-0000-000000000000}"/>
  <bookViews>
    <workbookView xWindow="-130" yWindow="-130" windowWidth="19460" windowHeight="10340" tabRatio="500" firstSheet="10" activeTab="14" xr2:uid="{00000000-000D-0000-FFFF-FFFF00000000}"/>
  </bookViews>
  <sheets>
    <sheet name="README" sheetId="1" r:id="rId1"/>
    <sheet name="README_v3" sheetId="2" r:id="rId2"/>
    <sheet name="DT_Client_Master" sheetId="3" r:id="rId3"/>
    <sheet name="DT_KYC_Restrictions" sheetId="4" r:id="rId4"/>
    <sheet name="DT_Coverage" sheetId="5" r:id="rId5"/>
    <sheet name="DT_CRM_Activity" sheetId="6" r:id="rId6"/>
    <sheet name="DT_Trading_Activity" sheetId="7" r:id="rId7"/>
    <sheet name="DT_Quote_Data" sheetId="8" r:id="rId8"/>
    <sheet name="DT_Revenue" sheetId="9" r:id="rId9"/>
    <sheet name="DT_Product_Holdings" sheetId="10" r:id="rId10"/>
    <sheet name="DT_Pipeline" sheetId="11" r:id="rId11"/>
    <sheet name="DT_Digital_Usage" sheetId="12" r:id="rId12"/>
    <sheet name="DT_Limits_Credit" sheetId="13" r:id="rId13"/>
    <sheet name="DT_Credit_Margin" sheetId="14" r:id="rId14"/>
    <sheet name="DT_Behavioral_Memory" sheetId="15" r:id="rId15"/>
    <sheet name="DT_Simulation" sheetId="16" r:id="rId16"/>
    <sheet name="DT_Detected_Opportunities" sheetId="17" r:id="rId17"/>
    <sheet name="CA_Ext_CompanyFilings" sheetId="18" r:id="rId18"/>
    <sheet name="CA_Ext_News" sheetId="19" r:id="rId19"/>
    <sheet name="CA_Ext_Deals" sheetId="20" r:id="rId20"/>
    <sheet name="CA_Market_Data" sheetId="21" r:id="rId21"/>
    <sheet name="CA_Sector_Benchmark" sheetId="22" r:id="rId22"/>
    <sheet name="CA_People_Data" sheetId="23" r:id="rId23"/>
    <sheet name="CA_Sustainability" sheetId="24" r:id="rId24"/>
    <sheet name="CA_KPI_Triggers" sheetId="25" r:id="rId25"/>
    <sheet name="CA_Signal_Detection" sheetId="26" r:id="rId26"/>
    <sheet name="CA_Opportunity_Scoring" sheetId="27" r:id="rId27"/>
    <sheet name="PB_Selected_Opportunity" sheetId="28" r:id="rId28"/>
    <sheet name="PB_Situation_Triggers" sheetId="29" r:id="rId29"/>
    <sheet name="PB_Company_Description" sheetId="30" r:id="rId30"/>
    <sheet name="PB_Products_Services" sheetId="31" r:id="rId31"/>
    <sheet name="PB_Key_Stats" sheetId="32" r:id="rId32"/>
    <sheet name="PB_Key_Management" sheetId="33" r:id="rId33"/>
    <sheet name="PB_Select_Customers" sheetId="34" r:id="rId34"/>
    <sheet name="PB_Content_Library" sheetId="35" r:id="rId35"/>
    <sheet name="PB_Generated_Pitchbooks" sheetId="36" r:id="rId36"/>
    <sheet name="Cand5_Client_Master" sheetId="37" r:id="rId37"/>
    <sheet name="DT_Treasury_Hedge_Policy" sheetId="38" r:id="rId38"/>
    <sheet name="DT_Cashflow_By_Currency" sheetId="39" r:id="rId39"/>
    <sheet name="DT_Debt_Derivatives_Register" sheetId="40" r:id="rId40"/>
    <sheet name="Ref_Service_Catalogue" sheetId="41" r:id="rId41"/>
    <sheet name="DT_Mandates_Wallet" sheetId="42" r:id="rId42"/>
    <sheet name="CA_Opportunity_Lifecycle" sheetId="43" r:id="rId43"/>
    <sheet name="CA_Subsequent_Events" sheetId="44" r:id="rId44"/>
    <sheet name="Mkt_Rates_Curves" sheetId="45" r:id="rId45"/>
    <sheet name="Mkt_FX_Fwd_Vol_Surface" sheetId="46" r:id="rId46"/>
    <sheet name="Mkt_Commodity_Curves" sheetId="47" r:id="rId47"/>
    <sheet name="Ext_Credit_Spreads" sheetId="48" r:id="rId48"/>
    <sheet name="Ctx_House_Views" sheetId="49" r:id="rId49"/>
    <sheet name="Meta_Provenance" sheetId="50" r:id="rId50"/>
    <sheet name="Meta_Entitlements_IB" sheetId="51" r:id="rId51"/>
    <sheet name="Cfg_Signal_Definitions" sheetId="52" r:id="rId52"/>
    <sheet name="Ref_Peer_Set_Membership" sheetId="53" r:id="rId53"/>
    <sheet name="Consolidated_Opportunity_Matrix" sheetId="54" r:id="rId54"/>
  </sheets>
  <definedNames>
    <definedName name="_xlnm._FilterDatabase" localSheetId="42" hidden="1">CA_Opportunity_Lifecycle!$A$1:$I$1</definedName>
    <definedName name="_xlnm._FilterDatabase" localSheetId="43" hidden="1">CA_Subsequent_Events!$A$1:$G$1</definedName>
    <definedName name="_xlnm._FilterDatabase" localSheetId="36" hidden="1">Cand5_Client_Master!$A$1:$L$1</definedName>
    <definedName name="_xlnm._FilterDatabase" localSheetId="51" hidden="1">Cfg_Signal_Definitions!$A$1:$K$1</definedName>
    <definedName name="_xlnm._FilterDatabase" localSheetId="48" hidden="1">Ctx_House_Views!$A$1:$J$1</definedName>
    <definedName name="_xlnm._FilterDatabase" localSheetId="38" hidden="1">DT_Cashflow_By_Currency!$A$1:$J$1</definedName>
    <definedName name="_xlnm._FilterDatabase" localSheetId="39" hidden="1">DT_Debt_Derivatives_Register!$A$1:$M$1</definedName>
    <definedName name="_xlnm._FilterDatabase" localSheetId="41" hidden="1">DT_Mandates_Wallet!$A$1:$I$1</definedName>
    <definedName name="_xlnm._FilterDatabase" localSheetId="37" hidden="1">DT_Treasury_Hedge_Policy!$A$1:$K$1</definedName>
    <definedName name="_xlnm._FilterDatabase" localSheetId="47" hidden="1">Ext_Credit_Spreads!$A$1:$G$1</definedName>
    <definedName name="_xlnm._FilterDatabase" localSheetId="50" hidden="1">Meta_Entitlements_IB!$A$1:$I$1</definedName>
    <definedName name="_xlnm._FilterDatabase" localSheetId="49" hidden="1">Meta_Provenance!$A$1:$I$1</definedName>
    <definedName name="_xlnm._FilterDatabase" localSheetId="46" hidden="1">Mkt_Commodity_Curves!$A$1:$G$1</definedName>
    <definedName name="_xlnm._FilterDatabase" localSheetId="45" hidden="1">Mkt_FX_Fwd_Vol_Surface!$A$1:$G$1</definedName>
    <definedName name="_xlnm._FilterDatabase" localSheetId="44" hidden="1">Mkt_Rates_Curves!$A$1:$F$1</definedName>
    <definedName name="_xlnm._FilterDatabase" localSheetId="52" hidden="1">Ref_Peer_Set_Membership!$A$1:$G$1</definedName>
    <definedName name="_xlnm._FilterDatabase" localSheetId="40" hidden="1">Ref_Service_Catalogue!$A$1:$H$1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4" i="27" l="1"/>
  <c r="I13" i="27"/>
  <c r="I12" i="27"/>
  <c r="I11" i="27"/>
  <c r="I10" i="27"/>
  <c r="I9" i="27"/>
  <c r="I8" i="27"/>
  <c r="I7" i="27"/>
  <c r="I6" i="27"/>
  <c r="I5" i="27"/>
  <c r="I4" i="27"/>
  <c r="I3" i="27"/>
  <c r="I2" i="27"/>
  <c r="H23" i="26"/>
  <c r="H22" i="26"/>
  <c r="H21" i="26"/>
  <c r="H20" i="26"/>
  <c r="H19" i="26"/>
  <c r="H18" i="26"/>
  <c r="H17" i="26"/>
  <c r="H16" i="26"/>
  <c r="H15" i="26"/>
  <c r="H14" i="26"/>
  <c r="H13" i="26"/>
  <c r="H12" i="26"/>
  <c r="H11" i="26"/>
  <c r="H10" i="26"/>
  <c r="H9" i="26"/>
  <c r="H8" i="26"/>
  <c r="H7" i="26"/>
  <c r="H6" i="26"/>
  <c r="H5" i="26"/>
  <c r="H4" i="26"/>
  <c r="H3" i="26"/>
  <c r="H2" i="26"/>
  <c r="H27" i="22"/>
  <c r="I27" i="22" s="1"/>
  <c r="H26" i="22"/>
  <c r="I26" i="22" s="1"/>
  <c r="H25" i="22"/>
  <c r="I25" i="22" s="1"/>
  <c r="H24" i="22"/>
  <c r="I24" i="22" s="1"/>
  <c r="H23" i="22"/>
  <c r="I23" i="22" s="1"/>
  <c r="H22" i="22"/>
  <c r="I22" i="22" s="1"/>
  <c r="H21" i="22"/>
  <c r="I21" i="22" s="1"/>
  <c r="H20" i="22"/>
  <c r="I20" i="22" s="1"/>
  <c r="H19" i="22"/>
  <c r="I19" i="22" s="1"/>
  <c r="H18" i="22"/>
  <c r="I18" i="22" s="1"/>
  <c r="H17" i="22"/>
  <c r="I17" i="22" s="1"/>
  <c r="H16" i="22"/>
  <c r="I16" i="22" s="1"/>
  <c r="H15" i="22"/>
  <c r="I15" i="22" s="1"/>
  <c r="H14" i="22"/>
  <c r="I14" i="22" s="1"/>
  <c r="H13" i="22"/>
  <c r="I13" i="22" s="1"/>
  <c r="H12" i="22"/>
  <c r="I12" i="22" s="1"/>
  <c r="H11" i="22"/>
  <c r="I11" i="22" s="1"/>
  <c r="H10" i="22"/>
  <c r="I10" i="22" s="1"/>
  <c r="H9" i="22"/>
  <c r="I9" i="22" s="1"/>
  <c r="H8" i="22"/>
  <c r="I8" i="22" s="1"/>
  <c r="H7" i="22"/>
  <c r="I7" i="22" s="1"/>
  <c r="H6" i="22"/>
  <c r="I6" i="22" s="1"/>
  <c r="H5" i="22"/>
  <c r="I5" i="22" s="1"/>
  <c r="H4" i="22"/>
  <c r="I4" i="22" s="1"/>
  <c r="H3" i="22"/>
  <c r="I3" i="22" s="1"/>
  <c r="H2" i="22"/>
  <c r="I2" i="22" s="1"/>
  <c r="F14" i="13"/>
  <c r="F13" i="13"/>
  <c r="F12" i="13"/>
  <c r="F11" i="13"/>
  <c r="F10" i="13"/>
  <c r="F9" i="13"/>
  <c r="F8" i="13"/>
  <c r="F7" i="13"/>
  <c r="F6" i="13"/>
  <c r="F5" i="13"/>
  <c r="F4" i="13"/>
  <c r="F3" i="13"/>
  <c r="F2" i="13"/>
</calcChain>
</file>

<file path=xl/sharedStrings.xml><?xml version="1.0" encoding="utf-8"?>
<sst xmlns="http://schemas.openxmlformats.org/spreadsheetml/2006/main" count="7511" uniqueCount="2524">
  <si>
    <t>ING Financial Markets  —  Agentification Prototype Datasets</t>
  </si>
  <si>
    <t>Sample data for the Connected Value Chain: Digital Twin  -&gt;  Commercial Analytics  -&gt;  Pitchbook Creation</t>
  </si>
  <si>
    <t>Purpose</t>
  </si>
  <si>
    <t>Illustrative, prototype-grade sample datasets — one worksheet per data requirement in the Cognizant x ING FM use-case deck. Sufficient to stand up an end-to-end agent prototype and demo the value chain.</t>
  </si>
  <si>
    <t>Join key</t>
  </si>
  <si>
    <t>Client_ID (CLI001–CLI008) is the universal join key across every sheet. Opportunity_ID and Pitchbook_ID link the three use cases.</t>
  </si>
  <si>
    <t>Data note</t>
  </si>
  <si>
    <t>SYNTHETIC / ILLUSTRATIVE. Company names are real listed entities used for realism, but all figures are fabricated for prototyping and must NOT be treated as factual financials. Key signal figures are aligned to the narratives in the source deck.</t>
  </si>
  <si>
    <t>SHEET INDEX</t>
  </si>
  <si>
    <t>— Use Case 1 —</t>
  </si>
  <si>
    <t>DIGITAL TWIN OF AN ACCOUNT  (live account 360 + what-if + opportunity detection)</t>
  </si>
  <si>
    <t>DT_Client_Master</t>
  </si>
  <si>
    <t>Client ID, group parent, legal entity, industry, geography, ownership, tier</t>
  </si>
  <si>
    <t>DT_KYC_Restrictions</t>
  </si>
  <si>
    <t>Approval status, restricted list, suitability, sanctions, MiFID category</t>
  </si>
  <si>
    <t>DT_Coverage</t>
  </si>
  <si>
    <t>RM, salesperson, product specialist, coverage model, client tier</t>
  </si>
  <si>
    <t>DT_CRM_Activity</t>
  </si>
  <si>
    <t>Meetings, calls, notes, follow-ups, contact roles</t>
  </si>
  <si>
    <t>DT_Trading_Activity</t>
  </si>
  <si>
    <t>FX/Rates/Commodities trades, notionals, maturities, PV01/Delta/Vega, venue, status</t>
  </si>
  <si>
    <t>DT_Quote_Data</t>
  </si>
  <si>
    <t>RFQs, quotes shown, hit ratio, lost-quote reason, response time</t>
  </si>
  <si>
    <t>DT_Revenue</t>
  </si>
  <si>
    <t>Product revenue, spread, margin, fees, RoC, wallet contribution</t>
  </si>
  <si>
    <t>DT_Product_Holdings</t>
  </si>
  <si>
    <t>Existing hedges, deposits, loans, facilities, DCM participation</t>
  </si>
  <si>
    <t>DT_Pipeline</t>
  </si>
  <si>
    <t>Open / stale opportunities, win-loss status</t>
  </si>
  <si>
    <t>DT_Digital_Usage</t>
  </si>
  <si>
    <t>Portal logins, research downloads, product page views</t>
  </si>
  <si>
    <t>DT_Limits_Credit</t>
  </si>
  <si>
    <t>Facility utilization, collateral, credit limits, risk approvals</t>
  </si>
  <si>
    <t>DT_Credit_Margin</t>
  </si>
  <si>
    <t>ISDA/CSA terms, IM/VM, counterparty credit lines, SA-CCR capital</t>
  </si>
  <si>
    <t>DT_Behavioral_Memory</t>
  </si>
  <si>
    <t>Past RFQ win/loss, preferred contacts, price sensitivity, call notes</t>
  </si>
  <si>
    <t>DT_Simulation</t>
  </si>
  <si>
    <t>What-if engine: rate/FX/commodity shocks vs client book with PnL impact</t>
  </si>
  <si>
    <t>DT_Detected_Opportunities</t>
  </si>
  <si>
    <t>GenAI-narrated opportunities (output that FEEDS Commercial Analytics)</t>
  </si>
  <si>
    <t>— Use Case 2 —</t>
  </si>
  <si>
    <t>COMMERCIAL ANALYTICS  (score, rank &amp; prioritize the opportunity list)</t>
  </si>
  <si>
    <t>CA_Ext_CompanyFilings</t>
  </si>
  <si>
    <t>Revenue, debt maturity, segment &amp; currency exposure from filings</t>
  </si>
  <si>
    <t>CA_Ext_News</t>
  </si>
  <si>
    <t>M&amp;A, refinancing, CFO changes, competitor appointments</t>
  </si>
  <si>
    <t>CA_Ext_Deals</t>
  </si>
  <si>
    <t>Bond issuance, loan syndication, DCM participation</t>
  </si>
  <si>
    <t>CA_Market_Data</t>
  </si>
  <si>
    <t>FX volatility, rates, credit spreads, commodity prices</t>
  </si>
  <si>
    <t>CA_Sector_Benchmark</t>
  </si>
  <si>
    <t>Peer hedging behaviour, wallet penetration, product whitespace</t>
  </si>
  <si>
    <t>CA_People_Data</t>
  </si>
  <si>
    <t>CFO, treasurer and board changes</t>
  </si>
  <si>
    <t>CA_Sustainability</t>
  </si>
  <si>
    <t>Net-zero commitments, green capex, transition plans, SLLs</t>
  </si>
  <si>
    <t>CA_KPI_Triggers</t>
  </si>
  <si>
    <t>Trigger configuration table (Debt / FX / Rates thresholds)</t>
  </si>
  <si>
    <t>CA_Signal_Detection</t>
  </si>
  <si>
    <t>Per-client KPI values vs thresholds — TRIGGERED flag (formula)</t>
  </si>
  <si>
    <t>CA_Opportunity_Scoring</t>
  </si>
  <si>
    <t>Ranked, qualified opportunity list + priority score (formula) + why-now</t>
  </si>
  <si>
    <t>— Use Case 3 —</t>
  </si>
  <si>
    <t>PITCHBOOK CREATION  (compose the compliance-ready deck)</t>
  </si>
  <si>
    <t>PB_Selected_Opportunity</t>
  </si>
  <si>
    <t>Selected opportunity passed in from Commercial Analytics</t>
  </si>
  <si>
    <t>PB_Situation_Triggers</t>
  </si>
  <si>
    <t>Situation update / carveout / triggers narrative inputs</t>
  </si>
  <si>
    <t>PB_Company_Description</t>
  </si>
  <si>
    <t>Business model, scale, market position, revenue quality, moat</t>
  </si>
  <si>
    <t>PB_Products_Services</t>
  </si>
  <si>
    <t>Key product lines with revenue relevance, positioning, differentiation</t>
  </si>
  <si>
    <t>PB_Key_Stats</t>
  </si>
  <si>
    <t>Financial profile, valuation metrics, operating KPIs</t>
  </si>
  <si>
    <t>PB_Key_Management</t>
  </si>
  <si>
    <t>Executive team, tenure, prior experience, background</t>
  </si>
  <si>
    <t>PB_Select_Customers</t>
  </si>
  <si>
    <t>Marquee customer logos / end-market breadth</t>
  </si>
  <si>
    <t>PB_Content_Library</t>
  </si>
  <si>
    <t>RAG source: approved research, house views, disclaimers, templates</t>
  </si>
  <si>
    <t>PB_Generated_Pitchbooks</t>
  </si>
  <si>
    <t>Output log with compliance classification &amp; audit lineage</t>
  </si>
  <si>
    <t>ING Financial Markets — Agentification Datasets  ·  v3 EXTENSION</t>
  </si>
  <si>
    <t>Focus: the FIVE candidates from the Preliminary Signal Approach — Enel, ASML, BASF, Lufthansa, Bayer</t>
  </si>
  <si>
    <t>Extends the original 35-sheet sample workbook with the qualification-formula datasets and market-context depth identified in the data-gap review, plus the Consolidated Opportunity Matrix. Enables the prototype to move from signal DETECTION to full opportunity QUALIFICATION.</t>
  </si>
  <si>
    <t>Client canon (this extension)</t>
  </si>
  <si>
    <t>CLI101 Enel · CLI102 ASML · CLI103 BASF · CLI104 Lufthansa · CLI105 Bayer. ASML (CLI102) corresponds to CLI002 in the original 8-client set; the other four are new.</t>
  </si>
  <si>
    <t>Client_ID (CLI101–CLI105). Opportunity_ID links to CA_Opportunity_Lifecycle and the matrix.</t>
  </si>
  <si>
    <t>Qualification formula</t>
  </si>
  <si>
    <t>Qualified opportunity = observed client change + House-view/market movement + evidence of unmet need + ING service fit + client actionability. The last three are the ones these new sheets supply.</t>
  </si>
  <si>
    <t>SYNTHETIC / ILLUSTRATIVE. Company names are real listed entities used for realism; figures are fabricated for prototyping and aligned to the narratives in the Preliminary Signal Approach. NOT factual financials. Opportunities are evidence-supported HYPOTHESES, not confirmed ING opportunities.</t>
  </si>
  <si>
    <t>Governance</t>
  </si>
  <si>
    <t>Meta_Provenance and Meta_Entitlements_IB carry permitted-use, jurisdiction and information-barrier status so the same record can drive internal detection but be blocked from client-facing pitchbooks until approved.</t>
  </si>
  <si>
    <t>NEW SHEETS IN THIS EXTENSION</t>
  </si>
  <si>
    <t>Cand5_Client_Master</t>
  </si>
  <si>
    <t>The five candidates, tier, base ccy and the approach's overall assessment</t>
  </si>
  <si>
    <t>DT_Treasury_Hedge_Policy</t>
  </si>
  <si>
    <t>Per-client target hedge ratios, tolerance bands, permitted instruments (the 'unmet need' baseline)</t>
  </si>
  <si>
    <t>DT_Cashflow_By_Currency</t>
  </si>
  <si>
    <t>Forecast/committed cash-flows by currency with natural-hedge offsets and NET exposure</t>
  </si>
  <si>
    <t>DT_Debt_Derivatives_Register</t>
  </si>
  <si>
    <t>Debt &amp; derivatives incl. hedge-accounting designation and counterparty</t>
  </si>
  <si>
    <t>Ref_Service_Catalogue</t>
  </si>
  <si>
    <t>ING product/service list with eligibility, MiFID suitability, jurisdictional restrictions (service fit)</t>
  </si>
  <si>
    <t>DT_Mandates_Wallet</t>
  </si>
  <si>
    <t>Live mandates, competing banks, wallet share, permitted client use/consent (actionability)</t>
  </si>
  <si>
    <t>CA_Opportunity_Lifecycle</t>
  </si>
  <si>
    <t>Opportunity status: new / under-review / addressed / rejected / expired</t>
  </si>
  <si>
    <t>CA_Subsequent_Events</t>
  </si>
  <si>
    <t>Recent issuances/facility/capital actions that can close or expire a signal (the Bayer test)</t>
  </si>
  <si>
    <t>Mkt_Rates_Curves</t>
  </si>
  <si>
    <t>Swap &amp; govvie curves by tenor &amp; currency</t>
  </si>
  <si>
    <t>Mkt_FX_Fwd_Vol_Surface</t>
  </si>
  <si>
    <t>FX forward points &amp; implied vol by pair and tenor</t>
  </si>
  <si>
    <t>Mkt_Commodity_Curves</t>
  </si>
  <si>
    <t>Brent / gasoil / jet-fuel curves, crack spread, commodity vol (Lufthansa, BASF)</t>
  </si>
  <si>
    <t>Ext_Credit_Spreads</t>
  </si>
  <si>
    <t>Issuer / rating credit spreads to quantify refinancing cost</t>
  </si>
  <si>
    <t>Ctx_House_Views</t>
  </si>
  <si>
    <t>Structured 'why now' macro layer: theme → ING view → opportunity implication → permitted use</t>
  </si>
  <si>
    <t>Meta_Provenance</t>
  </si>
  <si>
    <t>Per-source origin, publication date, permitted use, jurisdiction, confidence</t>
  </si>
  <si>
    <t>Meta_Entitlements_IB</t>
  </si>
  <si>
    <t>Per-client information-barrier status, MNPI flag, entitled desks, retrieval scope</t>
  </si>
  <si>
    <t>Cfg_Signal_Definitions</t>
  </si>
  <si>
    <t>Signal → KPI → threshold BY sector/tier, severity, owner, version (governed)</t>
  </si>
  <si>
    <t>Ref_Peer_Set_Membership</t>
  </si>
  <si>
    <t>Explicit peer-group members per sector for benchmarking</t>
  </si>
  <si>
    <t>Consolidated_Opportunity_Matrix</t>
  </si>
  <si>
    <t>The centrepiece: five candidates compared across House view, signal, qualification and readiness</t>
  </si>
  <si>
    <t>Client_ID</t>
  </si>
  <si>
    <t>Client_Name</t>
  </si>
  <si>
    <t>Group_Parent</t>
  </si>
  <si>
    <t>Legal_Entity</t>
  </si>
  <si>
    <t>Industry_Sector</t>
  </si>
  <si>
    <t>Country</t>
  </si>
  <si>
    <t>Region</t>
  </si>
  <si>
    <t>Ownership_Type</t>
  </si>
  <si>
    <t>Client_Tier</t>
  </si>
  <si>
    <t>Onboarding_Date</t>
  </si>
  <si>
    <t>Base_Ccy</t>
  </si>
  <si>
    <t>CLI001</t>
  </si>
  <si>
    <t>Orsted A/S</t>
  </si>
  <si>
    <t>Orsted Wind Power A/S</t>
  </si>
  <si>
    <t>Energy Utilities</t>
  </si>
  <si>
    <t>Denmark</t>
  </si>
  <si>
    <t>Nordics</t>
  </si>
  <si>
    <t>State-influenced Listed</t>
  </si>
  <si>
    <t>Tier 1</t>
  </si>
  <si>
    <t>2016-04-12</t>
  </si>
  <si>
    <t>DKK</t>
  </si>
  <si>
    <t>CLI002</t>
  </si>
  <si>
    <t>ASML Holding N.V.</t>
  </si>
  <si>
    <t>ASML Netherlands B.V.</t>
  </si>
  <si>
    <t>Semiconductors</t>
  </si>
  <si>
    <t>Netherlands</t>
  </si>
  <si>
    <t>Benelux</t>
  </si>
  <si>
    <t>Listed</t>
  </si>
  <si>
    <t>2014-09-03</t>
  </si>
  <si>
    <t>EUR</t>
  </si>
  <si>
    <t>CLI003</t>
  </si>
  <si>
    <t>Stellantis N.V.</t>
  </si>
  <si>
    <t>Stellantis Finance B.V.</t>
  </si>
  <si>
    <t>Automotive</t>
  </si>
  <si>
    <t>2021-01-18</t>
  </si>
  <si>
    <t>CLI004</t>
  </si>
  <si>
    <t>SAP SE</t>
  </si>
  <si>
    <t>Software</t>
  </si>
  <si>
    <t>Germany</t>
  </si>
  <si>
    <t>2013-06-22</t>
  </si>
  <si>
    <t>CLI005</t>
  </si>
  <si>
    <t>Vattenfall AB</t>
  </si>
  <si>
    <t>Kingdom of Sweden</t>
  </si>
  <si>
    <t>Sweden</t>
  </si>
  <si>
    <t>State-owned</t>
  </si>
  <si>
    <t>Tier 2</t>
  </si>
  <si>
    <t>2017-11-05</t>
  </si>
  <si>
    <t>SEK</t>
  </si>
  <si>
    <t>CLI006</t>
  </si>
  <si>
    <t>Koninklijke Philips N.V.</t>
  </si>
  <si>
    <t>Philips International B.V.</t>
  </si>
  <si>
    <t>Health Technology</t>
  </si>
  <si>
    <t>2015-02-27</t>
  </si>
  <si>
    <t>CLI007</t>
  </si>
  <si>
    <t>Heineken N.V.</t>
  </si>
  <si>
    <t>Heineken Holding N.V.</t>
  </si>
  <si>
    <t>Heineken International B.V.</t>
  </si>
  <si>
    <t>Beverages</t>
  </si>
  <si>
    <t>2018-07-14</t>
  </si>
  <si>
    <t>CLI008</t>
  </si>
  <si>
    <t>A.P. Moller-Maersk A/S</t>
  </si>
  <si>
    <t>A.P. Moller Holding</t>
  </si>
  <si>
    <t>Maersk Line A/S</t>
  </si>
  <si>
    <t>Shipping &amp; Logistics</t>
  </si>
  <si>
    <t>Family-controlled Listed</t>
  </si>
  <si>
    <t>2016-10-08</t>
  </si>
  <si>
    <t>CLI101</t>
  </si>
  <si>
    <t>Enel S.p.A.</t>
  </si>
  <si>
    <t>Enel Finance International N.V.</t>
  </si>
  <si>
    <t>Electric Utilities</t>
  </si>
  <si>
    <t>Italy</t>
  </si>
  <si>
    <t>Southern Europe</t>
  </si>
  <si>
    <t>2015-05-10</t>
  </si>
  <si>
    <t>CLI102</t>
  </si>
  <si>
    <t>CLI103</t>
  </si>
  <si>
    <t>BASF SE</t>
  </si>
  <si>
    <t>Chemicals</t>
  </si>
  <si>
    <t>2013-03-19</t>
  </si>
  <si>
    <t>CLI104</t>
  </si>
  <si>
    <t>Deutsche Lufthansa AG</t>
  </si>
  <si>
    <t>Airlines</t>
  </si>
  <si>
    <t>2017-02-22</t>
  </si>
  <si>
    <t>CLI105</t>
  </si>
  <si>
    <t>Bayer AG</t>
  </si>
  <si>
    <t>Pharmaceuticals / Life Sciences</t>
  </si>
  <si>
    <t>2012-11-14</t>
  </si>
  <si>
    <t>KYC_Status</t>
  </si>
  <si>
    <t>DD_Level</t>
  </si>
  <si>
    <t>KYC_Last_Review</t>
  </si>
  <si>
    <t>KYC_Next_Review</t>
  </si>
  <si>
    <t>Restricted_List_Flag</t>
  </si>
  <si>
    <t>Suitability_Rating</t>
  </si>
  <si>
    <t>Sanctions_Screen</t>
  </si>
  <si>
    <t>MiFID_Category</t>
  </si>
  <si>
    <t>Approved</t>
  </si>
  <si>
    <t>Enhanced DD</t>
  </si>
  <si>
    <t>2025-03-01</t>
  </si>
  <si>
    <t>2026-03-01</t>
  </si>
  <si>
    <t>No</t>
  </si>
  <si>
    <t>Suitable</t>
  </si>
  <si>
    <t>Clear</t>
  </si>
  <si>
    <t>Professional (per se)</t>
  </si>
  <si>
    <t>Standard</t>
  </si>
  <si>
    <t>2025-03-18</t>
  </si>
  <si>
    <t>2026-03-18</t>
  </si>
  <si>
    <t>2025-04-04</t>
  </si>
  <si>
    <t>2026-04-04</t>
  </si>
  <si>
    <t>2025-04-21</t>
  </si>
  <si>
    <t>2026-04-21</t>
  </si>
  <si>
    <t>2025-05-08</t>
  </si>
  <si>
    <t>2026-05-08</t>
  </si>
  <si>
    <t>Eligible Counterparty</t>
  </si>
  <si>
    <t>2025-05-25</t>
  </si>
  <si>
    <t>2026-05-25</t>
  </si>
  <si>
    <t>2025-06-11</t>
  </si>
  <si>
    <t>2026-06-11</t>
  </si>
  <si>
    <t>2025-06-28</t>
  </si>
  <si>
    <t>2026-06-28</t>
  </si>
  <si>
    <t>2025-04-10</t>
  </si>
  <si>
    <t>2026-04-10</t>
  </si>
  <si>
    <t>2025-02-25</t>
  </si>
  <si>
    <t>2026-02-25</t>
  </si>
  <si>
    <t>2025-05-14</t>
  </si>
  <si>
    <t>2026-05-14</t>
  </si>
  <si>
    <t>2025-06-09</t>
  </si>
  <si>
    <t>2026-06-09</t>
  </si>
  <si>
    <t>Relationship_Manager</t>
  </si>
  <si>
    <t>RM_Email</t>
  </si>
  <si>
    <t>FM_Salesperson</t>
  </si>
  <si>
    <t>Product_Specialist</t>
  </si>
  <si>
    <t>Coverage_Model</t>
  </si>
  <si>
    <t>Coverage_Region</t>
  </si>
  <si>
    <t>Sarah Boyer</t>
  </si>
  <si>
    <t>sarah.boyer@ing.com</t>
  </si>
  <si>
    <t>Lars Petersen</t>
  </si>
  <si>
    <t>Marta Nowak (Rates)</t>
  </si>
  <si>
    <t>Strategic</t>
  </si>
  <si>
    <t>Daan Visser</t>
  </si>
  <si>
    <t>daan.visser@ing.com</t>
  </si>
  <si>
    <t>Ines Costa</t>
  </si>
  <si>
    <t>Femke de Vries (FX)</t>
  </si>
  <si>
    <t>Paolo Ricci</t>
  </si>
  <si>
    <t>Klaus Berger</t>
  </si>
  <si>
    <t>klaus.berger@ing.com</t>
  </si>
  <si>
    <t>Erik Lund (Commodities)</t>
  </si>
  <si>
    <t>Portfolio</t>
  </si>
  <si>
    <t>Managed</t>
  </si>
  <si>
    <t>Marco Bianchi</t>
  </si>
  <si>
    <t>marco.bianchi@ing.com</t>
  </si>
  <si>
    <t>Giulia Romano</t>
  </si>
  <si>
    <t>Klaus Weber</t>
  </si>
  <si>
    <t>klaus.weber@ing.com</t>
  </si>
  <si>
    <t>Anna Schmidt</t>
  </si>
  <si>
    <t>Thomas Berg (Commodities)</t>
  </si>
  <si>
    <t>Activity_ID</t>
  </si>
  <si>
    <t>Activity_Date</t>
  </si>
  <si>
    <t>Activity_Type</t>
  </si>
  <si>
    <t>Contact_Name</t>
  </si>
  <si>
    <t>Contact_Role</t>
  </si>
  <si>
    <t>Subject</t>
  </si>
  <si>
    <t>Notes</t>
  </si>
  <si>
    <t>Follow_Up_Flag</t>
  </si>
  <si>
    <t>Next_Action_Date</t>
  </si>
  <si>
    <t>Owner</t>
  </si>
  <si>
    <t>ACT0001</t>
  </si>
  <si>
    <t>2025-06-18</t>
  </si>
  <si>
    <t>Meeting</t>
  </si>
  <si>
    <t>Peter Wennink</t>
  </si>
  <si>
    <t>Group Treasurer</t>
  </si>
  <si>
    <t>FY guidance &amp; US expansion capex</t>
  </si>
  <si>
    <t>Discussed rising North America revenue mix and USD funding needs.</t>
  </si>
  <si>
    <t>Yes</t>
  </si>
  <si>
    <t>2025-07-10</t>
  </si>
  <si>
    <t>ACT0002</t>
  </si>
  <si>
    <t>2025-06-30</t>
  </si>
  <si>
    <t>Call</t>
  </si>
  <si>
    <t>Roger Dassen</t>
  </si>
  <si>
    <t>CFO</t>
  </si>
  <si>
    <t>Hedging policy review</t>
  </si>
  <si>
    <t>CFO flagged hedge coverage lagging revenue mix shift.</t>
  </si>
  <si>
    <t>2025-07-15</t>
  </si>
  <si>
    <t>ACT0003</t>
  </si>
  <si>
    <t>2025-06-12</t>
  </si>
  <si>
    <t>Natalie Knight</t>
  </si>
  <si>
    <t>Rates hedging &amp; swap maturities</t>
  </si>
  <si>
    <t>Swap book rolling off in 12m; open to rates review.</t>
  </si>
  <si>
    <t>2025-07-08</t>
  </si>
  <si>
    <t>ACT0004</t>
  </si>
  <si>
    <t>2025-06-05</t>
  </si>
  <si>
    <t>Marianne Wiinholt</t>
  </si>
  <si>
    <t>2028 bond refinancing</t>
  </si>
  <si>
    <t>Early-stage thinking on refi of 2028 EUR bond.</t>
  </si>
  <si>
    <t>2025-07-20</t>
  </si>
  <si>
    <t>ACT0005</t>
  </si>
  <si>
    <t>2025-06-22</t>
  </si>
  <si>
    <t>Group Treasury</t>
  </si>
  <si>
    <t>Treasury Lead</t>
  </si>
  <si>
    <t>Renewable capex funding</t>
  </si>
  <si>
    <t>EUR 4bn capex programme, funding options discussed.</t>
  </si>
  <si>
    <t>ACT0006</t>
  </si>
  <si>
    <t>2025-06-25</t>
  </si>
  <si>
    <t>Email</t>
  </si>
  <si>
    <t>Dominik Asam</t>
  </si>
  <si>
    <t>Cash deployment</t>
  </si>
  <si>
    <t>Cash balances building; M&amp;A and buyback options.</t>
  </si>
  <si>
    <t>ACT0007</t>
  </si>
  <si>
    <t>2025-06-15</t>
  </si>
  <si>
    <t>Kerstin Ahlfont</t>
  </si>
  <si>
    <t>Sustainable finance</t>
  </si>
  <si>
    <t>Interest in SLL structures; low current wallet.</t>
  </si>
  <si>
    <t>2025-07-12</t>
  </si>
  <si>
    <t>ACT0008</t>
  </si>
  <si>
    <t>2025-06-20</t>
  </si>
  <si>
    <t>Patrick Jany</t>
  </si>
  <si>
    <t>Bunker fuel &amp; FX hedging</t>
  </si>
  <si>
    <t>Commodity + USD freight exposure review.</t>
  </si>
  <si>
    <t>2025-07-18</t>
  </si>
  <si>
    <t>ACT0009</t>
  </si>
  <si>
    <t>2025-06-10</t>
  </si>
  <si>
    <t>Charlotte Hanneman</t>
  </si>
  <si>
    <t>Working capital facilities</t>
  </si>
  <si>
    <t>Reviewing revolving facility terms.</t>
  </si>
  <si>
    <t>ACT0010</t>
  </si>
  <si>
    <t>Harold van den Broek</t>
  </si>
  <si>
    <t>EM FX exposure</t>
  </si>
  <si>
    <t>Growing LatAm/APAC FX flows.</t>
  </si>
  <si>
    <t>2025-07-22</t>
  </si>
  <si>
    <t>ACT0011</t>
  </si>
  <si>
    <t>Alberto Rossi</t>
  </si>
  <si>
    <t>Refinancing programme &amp; maturity wall</t>
  </si>
  <si>
    <t>Discussed EUR/USD maturities 2026-27 and board financing authorisation.</t>
  </si>
  <si>
    <t>ACT0012</t>
  </si>
  <si>
    <t>2025-07-02</t>
  </si>
  <si>
    <t>Elena Conti</t>
  </si>
  <si>
    <t>Head of Funding</t>
  </si>
  <si>
    <t>Green / SLL structuring</t>
  </si>
  <si>
    <t>Explored whether refi can be structured as green or SLL.</t>
  </si>
  <si>
    <t>ACT0013</t>
  </si>
  <si>
    <t>Rising North America revenue mix and USD funding needs.</t>
  </si>
  <si>
    <t>ACT0014</t>
  </si>
  <si>
    <t>CFO flagged hedge coverage lagging revenue-mix shift.</t>
  </si>
  <si>
    <t>ACT0015</t>
  </si>
  <si>
    <t>Dirk Elvermann</t>
  </si>
  <si>
    <t>Variable-rate exposure &amp; swaps</t>
  </si>
  <si>
    <t>Reviewed rise in floating-rate exposure vs policy.</t>
  </si>
  <si>
    <t>2025-07-05</t>
  </si>
  <si>
    <t>ACT0016</t>
  </si>
  <si>
    <t>Head of Treasury</t>
  </si>
  <si>
    <t>Treasurer</t>
  </si>
  <si>
    <t>Energy / commodity hedging</t>
  </si>
  <si>
    <t>Raw-material and gas cost pressure on working capital.</t>
  </si>
  <si>
    <t>ACT0017</t>
  </si>
  <si>
    <t>2025-07-01</t>
  </si>
  <si>
    <t>Till Streichert</t>
  </si>
  <si>
    <t>2027 fuel hedge programme</t>
  </si>
  <si>
    <t>2027 hedge ratio ~50%; layered build resumed Q2.</t>
  </si>
  <si>
    <t>ACT0018</t>
  </si>
  <si>
    <t>Head of Fuel Risk</t>
  </si>
  <si>
    <t>Fuel Risk Lead</t>
  </si>
  <si>
    <t>Brent/gasoil basis &amp; EUR/USD</t>
  </si>
  <si>
    <t>Basis risk and USD exposure on fuel book.</t>
  </si>
  <si>
    <t>2025-07-28</t>
  </si>
  <si>
    <t>ACT0019</t>
  </si>
  <si>
    <t>2025-07-16</t>
  </si>
  <si>
    <t>Wolfgang Nickl</t>
  </si>
  <si>
    <t>Residual liability management</t>
  </si>
  <si>
    <t>Post-issuance review of remaining facility &amp; timing.</t>
  </si>
  <si>
    <t>2025-08-01</t>
  </si>
  <si>
    <t>ACT0020</t>
  </si>
  <si>
    <t>2025-07-24</t>
  </si>
  <si>
    <t>Facility term-out &amp; IR/FX</t>
  </si>
  <si>
    <t>Discussed terming out residual facility and hedging new funding.</t>
  </si>
  <si>
    <t>Trade_ID</t>
  </si>
  <si>
    <t>Trade_Date</t>
  </si>
  <si>
    <t>Asset_Class</t>
  </si>
  <si>
    <t>Product</t>
  </si>
  <si>
    <t>Ccy_Pair</t>
  </si>
  <si>
    <t>Notional_mm</t>
  </si>
  <si>
    <t>Notional_Ccy</t>
  </si>
  <si>
    <t>Direction</t>
  </si>
  <si>
    <t>Maturity_Date</t>
  </si>
  <si>
    <t>Venue</t>
  </si>
  <si>
    <t>PV01_k</t>
  </si>
  <si>
    <t>Delta</t>
  </si>
  <si>
    <t>Vega_k</t>
  </si>
  <si>
    <t>Status</t>
  </si>
  <si>
    <t>TRD00001</t>
  </si>
  <si>
    <t>2025-01-07</t>
  </si>
  <si>
    <t>Commodities</t>
  </si>
  <si>
    <t>Commodity Swap</t>
  </si>
  <si>
    <t>Buy</t>
  </si>
  <si>
    <t>2030-01-06</t>
  </si>
  <si>
    <t>Bloomberg</t>
  </si>
  <si>
    <t>Live</t>
  </si>
  <si>
    <t>TRD00002</t>
  </si>
  <si>
    <t>2025-01-09</t>
  </si>
  <si>
    <t>Commodity Option</t>
  </si>
  <si>
    <t>Sell</t>
  </si>
  <si>
    <t>2025-04-09</t>
  </si>
  <si>
    <t>Tradeweb</t>
  </si>
  <si>
    <t>TRD00003</t>
  </si>
  <si>
    <t>2025-01-02</t>
  </si>
  <si>
    <t>Rates</t>
  </si>
  <si>
    <t>Swaption</t>
  </si>
  <si>
    <t>EUR/USD</t>
  </si>
  <si>
    <t>Maturing</t>
  </si>
  <si>
    <t>TRD00004</t>
  </si>
  <si>
    <t>2025-01-25</t>
  </si>
  <si>
    <t>FX</t>
  </si>
  <si>
    <t>FX Option</t>
  </si>
  <si>
    <t>2026-01-25</t>
  </si>
  <si>
    <t>TRD00005</t>
  </si>
  <si>
    <t>2028-06-09</t>
  </si>
  <si>
    <t>TRD00006</t>
  </si>
  <si>
    <t>2025-04-08</t>
  </si>
  <si>
    <t>FX Spot</t>
  </si>
  <si>
    <t>EUR/GBP</t>
  </si>
  <si>
    <t>2026-04-08</t>
  </si>
  <si>
    <t>TRD00007</t>
  </si>
  <si>
    <t>2025-05-17</t>
  </si>
  <si>
    <t>2030-05-16</t>
  </si>
  <si>
    <t>TRD00008</t>
  </si>
  <si>
    <t>2025-01-15</t>
  </si>
  <si>
    <t>2025-07-14</t>
  </si>
  <si>
    <t>TRD00009</t>
  </si>
  <si>
    <t>2025-04-12</t>
  </si>
  <si>
    <t>2030-04-11</t>
  </si>
  <si>
    <t>360T</t>
  </si>
  <si>
    <t>TRD00010</t>
  </si>
  <si>
    <t>2025-04-03</t>
  </si>
  <si>
    <t>2025-09-30</t>
  </si>
  <si>
    <t>TRD00011</t>
  </si>
  <si>
    <t>2025-06-02</t>
  </si>
  <si>
    <t>2025-08-31</t>
  </si>
  <si>
    <t>TRD00012</t>
  </si>
  <si>
    <t>2025-06-14</t>
  </si>
  <si>
    <t>2026-06-14</t>
  </si>
  <si>
    <t>TRD00013</t>
  </si>
  <si>
    <t>2026-06-10</t>
  </si>
  <si>
    <t>Expired</t>
  </si>
  <si>
    <t>TRD00014</t>
  </si>
  <si>
    <t>2025-05-06</t>
  </si>
  <si>
    <t>2025-08-04</t>
  </si>
  <si>
    <t>TRD00015</t>
  </si>
  <si>
    <t>2025-01-22</t>
  </si>
  <si>
    <t>2030-01-21</t>
  </si>
  <si>
    <t>TRD00016</t>
  </si>
  <si>
    <t>2025-05-21</t>
  </si>
  <si>
    <t>2025-11-17</t>
  </si>
  <si>
    <t>Direct API</t>
  </si>
  <si>
    <t>TRD00017</t>
  </si>
  <si>
    <t>2025-04-23</t>
  </si>
  <si>
    <t>2028-04-22</t>
  </si>
  <si>
    <t>TRD00018</t>
  </si>
  <si>
    <t>2025-04-02</t>
  </si>
  <si>
    <t>TRD00019</t>
  </si>
  <si>
    <t>2025-03-13</t>
  </si>
  <si>
    <t>FX Forward</t>
  </si>
  <si>
    <t>USD/JPY</t>
  </si>
  <si>
    <t>USD</t>
  </si>
  <si>
    <t>2030-03-12</t>
  </si>
  <si>
    <t>TRD00020</t>
  </si>
  <si>
    <t>2025-02-18</t>
  </si>
  <si>
    <t>Cap/Floor</t>
  </si>
  <si>
    <t>2025-05-19</t>
  </si>
  <si>
    <t>TRD00021</t>
  </si>
  <si>
    <t>2025-07-06</t>
  </si>
  <si>
    <t>2026-07-06</t>
  </si>
  <si>
    <t>TRD00022</t>
  </si>
  <si>
    <t>2025-04-24</t>
  </si>
  <si>
    <t>EUR/CHF</t>
  </si>
  <si>
    <t>2028-04-23</t>
  </si>
  <si>
    <t>TRD00023</t>
  </si>
  <si>
    <t>2025-05-05</t>
  </si>
  <si>
    <t>2027-05-05</t>
  </si>
  <si>
    <t>TRD00024</t>
  </si>
  <si>
    <t>2025-02-09</t>
  </si>
  <si>
    <t>2025-08-08</t>
  </si>
  <si>
    <t>TRD00025</t>
  </si>
  <si>
    <t>2025-05-30</t>
  </si>
  <si>
    <t>2027-05-30</t>
  </si>
  <si>
    <t>TRD00026</t>
  </si>
  <si>
    <t>2025-12-19</t>
  </si>
  <si>
    <t>TRD00027</t>
  </si>
  <si>
    <t>2025-04-18</t>
  </si>
  <si>
    <t>2030-04-17</t>
  </si>
  <si>
    <t>TRD00028</t>
  </si>
  <si>
    <t>2025-03-03</t>
  </si>
  <si>
    <t>2026-03-03</t>
  </si>
  <si>
    <t>TRD00029</t>
  </si>
  <si>
    <t>2025-01-19</t>
  </si>
  <si>
    <t>IRS</t>
  </si>
  <si>
    <t>2028-01-19</t>
  </si>
  <si>
    <t>TRD00030</t>
  </si>
  <si>
    <t>2025-02-10</t>
  </si>
  <si>
    <t>2027-02-10</t>
  </si>
  <si>
    <t>TRD00031</t>
  </si>
  <si>
    <t>2025-02-04</t>
  </si>
  <si>
    <t>2026-02-04</t>
  </si>
  <si>
    <t>TRD00032</t>
  </si>
  <si>
    <t>2025-07-03</t>
  </si>
  <si>
    <t>Cross-Currency Swap</t>
  </si>
  <si>
    <t>2026-07-03</t>
  </si>
  <si>
    <t>TRD00033</t>
  </si>
  <si>
    <t>2025-03-12</t>
  </si>
  <si>
    <t>TRD00034</t>
  </si>
  <si>
    <t>2025-01-29</t>
  </si>
  <si>
    <t>2025-04-29</t>
  </si>
  <si>
    <t>TRD00035</t>
  </si>
  <si>
    <t>2025-01-11</t>
  </si>
  <si>
    <t>2026-01-11</t>
  </si>
  <si>
    <t>TRD00036</t>
  </si>
  <si>
    <t>2025-06-08</t>
  </si>
  <si>
    <t>2030-06-07</t>
  </si>
  <si>
    <t>TRD00037</t>
  </si>
  <si>
    <t>USD/DKK</t>
  </si>
  <si>
    <t>2026-07-08</t>
  </si>
  <si>
    <t>TRD00038</t>
  </si>
  <si>
    <t>2025-02-21</t>
  </si>
  <si>
    <t>2027-02-21</t>
  </si>
  <si>
    <t>TRD00039</t>
  </si>
  <si>
    <t>2025-04-13</t>
  </si>
  <si>
    <t>2026-04-13</t>
  </si>
  <si>
    <t>TRD00040</t>
  </si>
  <si>
    <t>2025-06-23</t>
  </si>
  <si>
    <t>2028-06-22</t>
  </si>
  <si>
    <t>TRD00041</t>
  </si>
  <si>
    <t>2025-03-30</t>
  </si>
  <si>
    <t>2030-03-29</t>
  </si>
  <si>
    <t>TRD00042</t>
  </si>
  <si>
    <t>2025-01-01</t>
  </si>
  <si>
    <t>2028-01-01</t>
  </si>
  <si>
    <t>TRD00043</t>
  </si>
  <si>
    <t>2025-05-10</t>
  </si>
  <si>
    <t>2026-05-10</t>
  </si>
  <si>
    <t>TRD00044</t>
  </si>
  <si>
    <t>2025-06-07</t>
  </si>
  <si>
    <t>2028-06-06</t>
  </si>
  <si>
    <t>TRD00045</t>
  </si>
  <si>
    <t>2028-04-20</t>
  </si>
  <si>
    <t>TRD00046</t>
  </si>
  <si>
    <t>2025-09-16</t>
  </si>
  <si>
    <t>TRD00047</t>
  </si>
  <si>
    <t>2025-02-27</t>
  </si>
  <si>
    <t>FX Swap</t>
  </si>
  <si>
    <t>2025-08-26</t>
  </si>
  <si>
    <t>TRD00048</t>
  </si>
  <si>
    <t>2030-07-02</t>
  </si>
  <si>
    <t>TRD00049</t>
  </si>
  <si>
    <t>2025-02-15</t>
  </si>
  <si>
    <t>2030-02-14</t>
  </si>
  <si>
    <t>TRD00050</t>
  </si>
  <si>
    <t>EUR/SEK</t>
  </si>
  <si>
    <t>2028-06-19</t>
  </si>
  <si>
    <t>TRD00051</t>
  </si>
  <si>
    <t>2025-04-26</t>
  </si>
  <si>
    <t>2026-04-26</t>
  </si>
  <si>
    <t>TRD00052</t>
  </si>
  <si>
    <t>2025-03-02</t>
  </si>
  <si>
    <t>2026-03-02</t>
  </si>
  <si>
    <t>TRD00053</t>
  </si>
  <si>
    <t>2025-01-17</t>
  </si>
  <si>
    <t>2027-01-17</t>
  </si>
  <si>
    <t>TRD00054</t>
  </si>
  <si>
    <t>2028-04-09</t>
  </si>
  <si>
    <t>TRD00055</t>
  </si>
  <si>
    <t>2025-03-11</t>
  </si>
  <si>
    <t>2027-03-11</t>
  </si>
  <si>
    <t>TRD00056</t>
  </si>
  <si>
    <t>2028-06-08</t>
  </si>
  <si>
    <t>TRD00057</t>
  </si>
  <si>
    <t>2025-02-16</t>
  </si>
  <si>
    <t>TRD00058</t>
  </si>
  <si>
    <t>2025-01-21</t>
  </si>
  <si>
    <t>2027-01-21</t>
  </si>
  <si>
    <t>TRD00059</t>
  </si>
  <si>
    <t>2025-01-08</t>
  </si>
  <si>
    <t>2025-07-07</t>
  </si>
  <si>
    <t>TRD00060</t>
  </si>
  <si>
    <t>2025-02-11</t>
  </si>
  <si>
    <t>Interest Rate Swap</t>
  </si>
  <si>
    <t>250</t>
  </si>
  <si>
    <t>2030-02-11</t>
  </si>
  <si>
    <t>31.5</t>
  </si>
  <si>
    <t>0</t>
  </si>
  <si>
    <t>TRD00061</t>
  </si>
  <si>
    <t>2025-03-04</t>
  </si>
  <si>
    <t>180</t>
  </si>
  <si>
    <t>2026-03-04</t>
  </si>
  <si>
    <t>0.6</t>
  </si>
  <si>
    <t>TRD00062</t>
  </si>
  <si>
    <t>2025-04-22</t>
  </si>
  <si>
    <t>Power Swap</t>
  </si>
  <si>
    <t>120</t>
  </si>
  <si>
    <t>2027-04-22</t>
  </si>
  <si>
    <t>2.8</t>
  </si>
  <si>
    <t>TRD00063</t>
  </si>
  <si>
    <t>150</t>
  </si>
  <si>
    <t>2029-01-15</t>
  </si>
  <si>
    <t>24.0</t>
  </si>
  <si>
    <t>TRD00064</t>
  </si>
  <si>
    <t>2025-02-06</t>
  </si>
  <si>
    <t>400</t>
  </si>
  <si>
    <t>2026-02-06</t>
  </si>
  <si>
    <t>0.8</t>
  </si>
  <si>
    <t>TRD00065</t>
  </si>
  <si>
    <t>2025-03-19</t>
  </si>
  <si>
    <t>2026-01-19</t>
  </si>
  <si>
    <t>0.3</t>
  </si>
  <si>
    <t>61.0</t>
  </si>
  <si>
    <t>TRD00066</t>
  </si>
  <si>
    <t>2025-05-02</t>
  </si>
  <si>
    <t>USD/KRW</t>
  </si>
  <si>
    <t>2027-05-02</t>
  </si>
  <si>
    <t>6.4</t>
  </si>
  <si>
    <t>0.2</t>
  </si>
  <si>
    <t>TRD00067</t>
  </si>
  <si>
    <t>USD/TWD</t>
  </si>
  <si>
    <t>90</t>
  </si>
  <si>
    <t>0.5</t>
  </si>
  <si>
    <t>TRD00068</t>
  </si>
  <si>
    <t>300</t>
  </si>
  <si>
    <t>2029-02-18</t>
  </si>
  <si>
    <t>28.7</t>
  </si>
  <si>
    <t>TRD00069</t>
  </si>
  <si>
    <t>2025-03-27</t>
  </si>
  <si>
    <t>Gas Swap</t>
  </si>
  <si>
    <t>2026-12-31</t>
  </si>
  <si>
    <t>ICE</t>
  </si>
  <si>
    <t>3.1</t>
  </si>
  <si>
    <t>TRD00070</t>
  </si>
  <si>
    <t>2025-05-09</t>
  </si>
  <si>
    <t>Cap</t>
  </si>
  <si>
    <t>200</t>
  </si>
  <si>
    <t>2028-05-09</t>
  </si>
  <si>
    <t>14.2</t>
  </si>
  <si>
    <t>22.0</t>
  </si>
  <si>
    <t>TRD00071</t>
  </si>
  <si>
    <t>110</t>
  </si>
  <si>
    <t>2026-06-20</t>
  </si>
  <si>
    <t>0.4</t>
  </si>
  <si>
    <t>TRD00072</t>
  </si>
  <si>
    <t>Fuel Swap (Brent)</t>
  </si>
  <si>
    <t>220</t>
  </si>
  <si>
    <t>4.0</t>
  </si>
  <si>
    <t>TRD00073</t>
  </si>
  <si>
    <t>2025-06-16</t>
  </si>
  <si>
    <t>Gasoil Crack Hedge</t>
  </si>
  <si>
    <t>80</t>
  </si>
  <si>
    <t>CME</t>
  </si>
  <si>
    <t>1.6</t>
  </si>
  <si>
    <t>TRD00074</t>
  </si>
  <si>
    <t>Fuel Option (2027)</t>
  </si>
  <si>
    <t>2027-12-31</t>
  </si>
  <si>
    <t>38.0</t>
  </si>
  <si>
    <t>TRD00075</t>
  </si>
  <si>
    <t>140</t>
  </si>
  <si>
    <t>2026-05-21</t>
  </si>
  <si>
    <t>TRD00076</t>
  </si>
  <si>
    <t>2025-02-28</t>
  </si>
  <si>
    <t>2030-02-28</t>
  </si>
  <si>
    <t>26.9</t>
  </si>
  <si>
    <t>TRD00077</t>
  </si>
  <si>
    <t>2025-04-15</t>
  </si>
  <si>
    <t>160</t>
  </si>
  <si>
    <t>2026-04-15</t>
  </si>
  <si>
    <t>TRD00078</t>
  </si>
  <si>
    <t>130</t>
  </si>
  <si>
    <t>2029-06-05</t>
  </si>
  <si>
    <t>21.3</t>
  </si>
  <si>
    <t>TRD00079</t>
  </si>
  <si>
    <t>2025-01-20</t>
  </si>
  <si>
    <t>18.0</t>
  </si>
  <si>
    <t>RFQ_ID</t>
  </si>
  <si>
    <t>RFQ_Date</t>
  </si>
  <si>
    <t>Quotes_Shown</t>
  </si>
  <si>
    <t>Outcome</t>
  </si>
  <si>
    <t>Lost_Reason</t>
  </si>
  <si>
    <t>Response_Time_Sec</t>
  </si>
  <si>
    <t>Winning_Dealer</t>
  </si>
  <si>
    <t>RFQ00001</t>
  </si>
  <si>
    <t>Lost</t>
  </si>
  <si>
    <t>No trade</t>
  </si>
  <si>
    <t>Peer C</t>
  </si>
  <si>
    <t>RFQ00002</t>
  </si>
  <si>
    <t>2025-07-19</t>
  </si>
  <si>
    <t>Credit line</t>
  </si>
  <si>
    <t>Peer B</t>
  </si>
  <si>
    <t>RFQ00003</t>
  </si>
  <si>
    <t>Peer A</t>
  </si>
  <si>
    <t>RFQ00004</t>
  </si>
  <si>
    <t>RFQ00005</t>
  </si>
  <si>
    <t>2025-01-18</t>
  </si>
  <si>
    <t>Won</t>
  </si>
  <si>
    <t>ING</t>
  </si>
  <si>
    <t>RFQ00006</t>
  </si>
  <si>
    <t>Slow response</t>
  </si>
  <si>
    <t>RFQ00007</t>
  </si>
  <si>
    <t>RFQ00008</t>
  </si>
  <si>
    <t>2025-01-23</t>
  </si>
  <si>
    <t>RFQ00009</t>
  </si>
  <si>
    <t>2025-03-28</t>
  </si>
  <si>
    <t>RFQ00010</t>
  </si>
  <si>
    <t>2025-03-08</t>
  </si>
  <si>
    <t>RFQ00011</t>
  </si>
  <si>
    <t>RFQ00012</t>
  </si>
  <si>
    <t>Price</t>
  </si>
  <si>
    <t>RFQ00013</t>
  </si>
  <si>
    <t>2025-03-20</t>
  </si>
  <si>
    <t>RFQ00014</t>
  </si>
  <si>
    <t>2025-04-01</t>
  </si>
  <si>
    <t>RFQ00015</t>
  </si>
  <si>
    <t>2025-03-22</t>
  </si>
  <si>
    <t>RFQ00016</t>
  </si>
  <si>
    <t>RFQ00017</t>
  </si>
  <si>
    <t>RFQ00018</t>
  </si>
  <si>
    <t>2025-05-22</t>
  </si>
  <si>
    <t>RFQ00019</t>
  </si>
  <si>
    <t>2025-05-01</t>
  </si>
  <si>
    <t>RFQ00020</t>
  </si>
  <si>
    <t>2025-01-30</t>
  </si>
  <si>
    <t>RFQ00021</t>
  </si>
  <si>
    <t>RFQ00022</t>
  </si>
  <si>
    <t>RFQ00023</t>
  </si>
  <si>
    <t>Lost to competitor</t>
  </si>
  <si>
    <t>RFQ00024</t>
  </si>
  <si>
    <t>RFQ00025</t>
  </si>
  <si>
    <t>2025-06-26</t>
  </si>
  <si>
    <t>RFQ00026</t>
  </si>
  <si>
    <t>RFQ00027</t>
  </si>
  <si>
    <t>2025-03-10</t>
  </si>
  <si>
    <t>RFQ00028</t>
  </si>
  <si>
    <t>RFQ00029</t>
  </si>
  <si>
    <t>2025-06-03</t>
  </si>
  <si>
    <t>RFQ00030</t>
  </si>
  <si>
    <t>2025-01-24</t>
  </si>
  <si>
    <t>RFQ00031</t>
  </si>
  <si>
    <t>RFQ00032</t>
  </si>
  <si>
    <t>RFQ00033</t>
  </si>
  <si>
    <t>RFQ00034</t>
  </si>
  <si>
    <t>2025-04-27</t>
  </si>
  <si>
    <t>RFQ00035</t>
  </si>
  <si>
    <t>RFQ00036</t>
  </si>
  <si>
    <t>RFQ00037</t>
  </si>
  <si>
    <t>2025-03-15</t>
  </si>
  <si>
    <t>RFQ00038</t>
  </si>
  <si>
    <t>RFQ00039</t>
  </si>
  <si>
    <t>RFQ00040</t>
  </si>
  <si>
    <t>2025-05-11</t>
  </si>
  <si>
    <t>RFQ00041</t>
  </si>
  <si>
    <t>RFQ00042</t>
  </si>
  <si>
    <t>RFQ00043</t>
  </si>
  <si>
    <t>2025-02-08</t>
  </si>
  <si>
    <t>RFQ00044</t>
  </si>
  <si>
    <t>RFQ00045</t>
  </si>
  <si>
    <t>2025-03-23</t>
  </si>
  <si>
    <t>Timing</t>
  </si>
  <si>
    <t>RFQ00046</t>
  </si>
  <si>
    <t>2025-02-02</t>
  </si>
  <si>
    <t>RFQ00047</t>
  </si>
  <si>
    <t>2025-05-15</t>
  </si>
  <si>
    <t>RFQ00048</t>
  </si>
  <si>
    <t>4</t>
  </si>
  <si>
    <t>9</t>
  </si>
  <si>
    <t>RFQ00049</t>
  </si>
  <si>
    <t>3</t>
  </si>
  <si>
    <t>6</t>
  </si>
  <si>
    <t>RFQ00050</t>
  </si>
  <si>
    <t>11</t>
  </si>
  <si>
    <t>RFQ00051</t>
  </si>
  <si>
    <t>2025-05-27</t>
  </si>
  <si>
    <t>5</t>
  </si>
  <si>
    <t>RFQ00052</t>
  </si>
  <si>
    <t>7</t>
  </si>
  <si>
    <t>RFQ00053</t>
  </si>
  <si>
    <t>8</t>
  </si>
  <si>
    <t>RFQ00054</t>
  </si>
  <si>
    <t>10</t>
  </si>
  <si>
    <t>RFQ00055</t>
  </si>
  <si>
    <t>2025-06-24</t>
  </si>
  <si>
    <t>12</t>
  </si>
  <si>
    <t>RFQ00056</t>
  </si>
  <si>
    <t>Fuel Swap</t>
  </si>
  <si>
    <t>14</t>
  </si>
  <si>
    <t>RFQ00057</t>
  </si>
  <si>
    <t>Fuel Option</t>
  </si>
  <si>
    <t>Pending</t>
  </si>
  <si>
    <t>-</t>
  </si>
  <si>
    <t>RFQ00058</t>
  </si>
  <si>
    <t>RFQ00059</t>
  </si>
  <si>
    <t>Year</t>
  </si>
  <si>
    <t>Product_Line</t>
  </si>
  <si>
    <t>Revenue_EUR_000</t>
  </si>
  <si>
    <t>Spread_bps</t>
  </si>
  <si>
    <t>Margin_Pct</t>
  </si>
  <si>
    <t>Fees_EUR_000</t>
  </si>
  <si>
    <t>RoC_Pct</t>
  </si>
  <si>
    <t>Wallet_Contribution_Pct</t>
  </si>
  <si>
    <t>2023</t>
  </si>
  <si>
    <t>DCM / Financing</t>
  </si>
  <si>
    <t>Cash &amp; Deposits</t>
  </si>
  <si>
    <t>2024</t>
  </si>
  <si>
    <t>2025</t>
  </si>
  <si>
    <t>DCM/Financing</t>
  </si>
  <si>
    <t>Product_Category</t>
  </si>
  <si>
    <t>Currency</t>
  </si>
  <si>
    <t>Start_Date</t>
  </si>
  <si>
    <t>Hedges</t>
  </si>
  <si>
    <t>FX Forward portfolio</t>
  </si>
  <si>
    <t>2023-09-08</t>
  </si>
  <si>
    <t>2026-02-07</t>
  </si>
  <si>
    <t>Loans</t>
  </si>
  <si>
    <t>Green term loan</t>
  </si>
  <si>
    <t>2023-03-08</t>
  </si>
  <si>
    <t>2026-08-01</t>
  </si>
  <si>
    <t>DCM</t>
  </si>
  <si>
    <t>EUR 1.5bn bond (2028, 1.75%)</t>
  </si>
  <si>
    <t>2023-06-18</t>
  </si>
  <si>
    <t>2028-10-12</t>
  </si>
  <si>
    <t>FX Forward portfolio (USD)</t>
  </si>
  <si>
    <t>2023-08-26</t>
  </si>
  <si>
    <t>2026-09-05</t>
  </si>
  <si>
    <t>Deposits</t>
  </si>
  <si>
    <t>EUR term deposit</t>
  </si>
  <si>
    <t>2023-10-03</t>
  </si>
  <si>
    <t>2026-02-10</t>
  </si>
  <si>
    <t>Facilities</t>
  </si>
  <si>
    <t>RCF (undrawn)</t>
  </si>
  <si>
    <t>2023-07-23</t>
  </si>
  <si>
    <t>2026-12-16</t>
  </si>
  <si>
    <t>IRS portfolio</t>
  </si>
  <si>
    <t>2023-09-14</t>
  </si>
  <si>
    <t>2028-07-27</t>
  </si>
  <si>
    <t>Auto-finance facility</t>
  </si>
  <si>
    <t>2026-03-11</t>
  </si>
  <si>
    <t>MMF / term deposits</t>
  </si>
  <si>
    <t>2023-11-03</t>
  </si>
  <si>
    <t>2026-08-15</t>
  </si>
  <si>
    <t>FX options (USD/EUR)</t>
  </si>
  <si>
    <t>2023-11-17</t>
  </si>
  <si>
    <t>2026-06-05</t>
  </si>
  <si>
    <t>FX Forwards (standard)</t>
  </si>
  <si>
    <t>2023-09-21</t>
  </si>
  <si>
    <t>2026-10-06</t>
  </si>
  <si>
    <t>Revolving facility</t>
  </si>
  <si>
    <t>2023-03-14</t>
  </si>
  <si>
    <t>2026-09-28</t>
  </si>
  <si>
    <t>Working capital facility</t>
  </si>
  <si>
    <t>2023-01-27</t>
  </si>
  <si>
    <t>2026-02-17</t>
  </si>
  <si>
    <t>2023-03-10</t>
  </si>
  <si>
    <t>2026-03-06</t>
  </si>
  <si>
    <t>EM FX forwards</t>
  </si>
  <si>
    <t>2023-06-23</t>
  </si>
  <si>
    <t>2026-04-12</t>
  </si>
  <si>
    <t>Bunker fuel commodity swap</t>
  </si>
  <si>
    <t>2023-09-10</t>
  </si>
  <si>
    <t>2026-02-09</t>
  </si>
  <si>
    <t>USD/DKK freight hedges</t>
  </si>
  <si>
    <t>2023-04-21</t>
  </si>
  <si>
    <t>2026-09-09</t>
  </si>
  <si>
    <t>USD green bond</t>
  </si>
  <si>
    <t>2023-03-21</t>
  </si>
  <si>
    <t>2026-05-20</t>
  </si>
  <si>
    <t>EUR 3.0bn senior notes (2026, 1.20%)</t>
  </si>
  <si>
    <t>2016-06-10</t>
  </si>
  <si>
    <t>2026-09-15</t>
  </si>
  <si>
    <t>USD 2.5bn senior notes (2027, 3.50%)</t>
  </si>
  <si>
    <t>2017-05-20</t>
  </si>
  <si>
    <t>2027-05-20</t>
  </si>
  <si>
    <t>2022-03-08</t>
  </si>
  <si>
    <t>2027-08-01</t>
  </si>
  <si>
    <t>IRS receive-fixed</t>
  </si>
  <si>
    <t>2021-03-01</t>
  </si>
  <si>
    <t>2028-03-01</t>
  </si>
  <si>
    <t>FX forward portfolio (USD)</t>
  </si>
  <si>
    <t>2024-09-08</t>
  </si>
  <si>
    <t>FX options (USD)</t>
  </si>
  <si>
    <t>2026-01-15</t>
  </si>
  <si>
    <t>Revolving credit facility</t>
  </si>
  <si>
    <t>2022-06-01</t>
  </si>
  <si>
    <t>2027-06-01</t>
  </si>
  <si>
    <t>Floating-rate term loan</t>
  </si>
  <si>
    <t>2023-06-01</t>
  </si>
  <si>
    <t>2028-06-01</t>
  </si>
  <si>
    <t>IRS pay-fixed (designated)</t>
  </si>
  <si>
    <t>2022-04-01</t>
  </si>
  <si>
    <t>2027-04-01</t>
  </si>
  <si>
    <t>Gas swap</t>
  </si>
  <si>
    <t>Brent fuel swap 2026</t>
  </si>
  <si>
    <t>2025-06-01</t>
  </si>
  <si>
    <t>2027 fuel hedge (layered)</t>
  </si>
  <si>
    <t>2026-05-01</t>
  </si>
  <si>
    <t>2021-09-01</t>
  </si>
  <si>
    <t>2026-09-01</t>
  </si>
  <si>
    <t>USD 5.0bn fixed notes (5-30y, 5.10%)</t>
  </si>
  <si>
    <t>2026-07-15</t>
  </si>
  <si>
    <t>2031-07-15</t>
  </si>
  <si>
    <t>Bank RCF (resized 8bn-&gt;3bn)</t>
  </si>
  <si>
    <t>2021-05-01</t>
  </si>
  <si>
    <t>2028-05-01</t>
  </si>
  <si>
    <t>IRS pay-fixed</t>
  </si>
  <si>
    <t>2023-02-01</t>
  </si>
  <si>
    <t>2030-02-01</t>
  </si>
  <si>
    <t>Opportunity_ID</t>
  </si>
  <si>
    <t>Stage</t>
  </si>
  <si>
    <t>Est_Revenue_EUR_000</t>
  </si>
  <si>
    <t>Probability_Pct</t>
  </si>
  <si>
    <t>Created_Date</t>
  </si>
  <si>
    <t>Last_Updated</t>
  </si>
  <si>
    <t>OPP0001</t>
  </si>
  <si>
    <t>FX hedging programme extension</t>
  </si>
  <si>
    <t>Proposal</t>
  </si>
  <si>
    <t>2025-04-19</t>
  </si>
  <si>
    <t>Open</t>
  </si>
  <si>
    <t>OPP0002</t>
  </si>
  <si>
    <t>Cross-currency swap</t>
  </si>
  <si>
    <t>Qualify</t>
  </si>
  <si>
    <t>2025-02-19</t>
  </si>
  <si>
    <t>OPP0003</t>
  </si>
  <si>
    <t>Rates hedging review</t>
  </si>
  <si>
    <t>OPP0004</t>
  </si>
  <si>
    <t>2028 bond refinancing mandate</t>
  </si>
  <si>
    <t>Discovery</t>
  </si>
  <si>
    <t>2025-06-17</t>
  </si>
  <si>
    <t>OPP0005</t>
  </si>
  <si>
    <t>Green capex financing</t>
  </si>
  <si>
    <t>2025-01-27</t>
  </si>
  <si>
    <t>OPP0006</t>
  </si>
  <si>
    <t>Structured deposit</t>
  </si>
  <si>
    <t>Negotiation</t>
  </si>
  <si>
    <t>2025-01-03</t>
  </si>
  <si>
    <t>OPP0007</t>
  </si>
  <si>
    <t>Sustainability-linked loan</t>
  </si>
  <si>
    <t>2025-03-21</t>
  </si>
  <si>
    <t>OPP0008</t>
  </si>
  <si>
    <t>Commodity hedge</t>
  </si>
  <si>
    <t>2025-04-20</t>
  </si>
  <si>
    <t>Stale</t>
  </si>
  <si>
    <t>OPP0009</t>
  </si>
  <si>
    <t>Bunker hedge renewal</t>
  </si>
  <si>
    <t>2025-01-16</t>
  </si>
  <si>
    <t>2025-04-16</t>
  </si>
  <si>
    <t>OPP0010</t>
  </si>
  <si>
    <t>EM FX hedging</t>
  </si>
  <si>
    <t>OPP0011</t>
  </si>
  <si>
    <t>WC facility refinance</t>
  </si>
  <si>
    <t>2025-07-30</t>
  </si>
  <si>
    <t>OPP0012</t>
  </si>
  <si>
    <t>DCM issuance</t>
  </si>
  <si>
    <t>OPP0013</t>
  </si>
  <si>
    <t>DCM refinancing (2026-27 maturities)</t>
  </si>
  <si>
    <t>OPP0014</t>
  </si>
  <si>
    <t>Green / SLL financing</t>
  </si>
  <si>
    <t>Prospect</t>
  </si>
  <si>
    <t>OPP0015</t>
  </si>
  <si>
    <t>OPP0016</t>
  </si>
  <si>
    <t>OPP0017</t>
  </si>
  <si>
    <t>OPP0018</t>
  </si>
  <si>
    <t>Commodity / energy hedge</t>
  </si>
  <si>
    <t>OPP0019</t>
  </si>
  <si>
    <t>OPP0020</t>
  </si>
  <si>
    <t>FX hedge (USD)</t>
  </si>
  <si>
    <t>OPP0021</t>
  </si>
  <si>
    <t>Residual liability management review</t>
  </si>
  <si>
    <t>Month</t>
  </si>
  <si>
    <t>Portal_Logins</t>
  </si>
  <si>
    <t>Research_Downloads</t>
  </si>
  <si>
    <t>Product_Page_Views</t>
  </si>
  <si>
    <t>Most_Viewed_Product</t>
  </si>
  <si>
    <t>Digital_Engagement_Score</t>
  </si>
  <si>
    <t>2025-04</t>
  </si>
  <si>
    <t>ESG Financing</t>
  </si>
  <si>
    <t>2025-05</t>
  </si>
  <si>
    <t>Rates Outlook</t>
  </si>
  <si>
    <t>2025-06</t>
  </si>
  <si>
    <t>Commodity Note</t>
  </si>
  <si>
    <t>FX Research</t>
  </si>
  <si>
    <t>DCM Pipeline</t>
  </si>
  <si>
    <t>FX Outlook</t>
  </si>
  <si>
    <t>Oil / Fuel Note</t>
  </si>
  <si>
    <t>Rates Strategy</t>
  </si>
  <si>
    <t>Facility_Type</t>
  </si>
  <si>
    <t>Credit_Limit_mm</t>
  </si>
  <si>
    <t>Utilization_mm</t>
  </si>
  <si>
    <t>Utilization_Pct</t>
  </si>
  <si>
    <t>Collateral_Posted_mm</t>
  </si>
  <si>
    <t>Risk_Rating</t>
  </si>
  <si>
    <t>Approval_Status</t>
  </si>
  <si>
    <t>Review_Date</t>
  </si>
  <si>
    <t>Corporate lending</t>
  </si>
  <si>
    <t>A-</t>
  </si>
  <si>
    <t>Derivatives + RCF</t>
  </si>
  <si>
    <t>AA-</t>
  </si>
  <si>
    <t>Auto-finance</t>
  </si>
  <si>
    <t>BBB+</t>
  </si>
  <si>
    <t>Derivatives</t>
  </si>
  <si>
    <t>AA</t>
  </si>
  <si>
    <t>2025-09-18</t>
  </si>
  <si>
    <t>A</t>
  </si>
  <si>
    <t>2025-07-25</t>
  </si>
  <si>
    <t>Working capital</t>
  </si>
  <si>
    <t>BBB</t>
  </si>
  <si>
    <t>2025-09-14</t>
  </si>
  <si>
    <t>Derivatives + WC</t>
  </si>
  <si>
    <t>Trade + derivatives</t>
  </si>
  <si>
    <t>Aviation finance</t>
  </si>
  <si>
    <t>BBB-</t>
  </si>
  <si>
    <t>ISDA_Signed</t>
  </si>
  <si>
    <t>CSA_Signed</t>
  </si>
  <si>
    <t>CSA_Threshold_mm</t>
  </si>
  <si>
    <t>Initial_Margin_mm</t>
  </si>
  <si>
    <t>Variation_Margin_mm</t>
  </si>
  <si>
    <t>Avail_Credit_Line_mm</t>
  </si>
  <si>
    <t>SA_CCR_EAD_mm</t>
  </si>
  <si>
    <t>SA_CCR_Capital_mm</t>
  </si>
  <si>
    <t>RFQ_Win_Rate_Pct</t>
  </si>
  <si>
    <t>Preferred_Sales_Contact</t>
  </si>
  <si>
    <t>Price_Sensitivity</t>
  </si>
  <si>
    <t>Typical_Ticket_mm</t>
  </si>
  <si>
    <t>Preferred_Channel</t>
  </si>
  <si>
    <t>Decision_Maker</t>
  </si>
  <si>
    <t>Call_Notes_Summary</t>
  </si>
  <si>
    <t>Medium</t>
  </si>
  <si>
    <t>Portal + Voice</t>
  </si>
  <si>
    <t>Long lead times; ESG angle resonates strongly. Refi decisions run through group treasury committee.</t>
  </si>
  <si>
    <t>Low (relationship-led)</t>
  </si>
  <si>
    <t>CFO / Treasurer</t>
  </si>
  <si>
    <t>Consistently asks for hedge-ratio benchmarking vs sector; values proactive USD exposure alerts.</t>
  </si>
  <si>
    <t>High (price-driven)</t>
  </si>
  <si>
    <t>Very price-sensitive on rates; benchmarks 3 dealers on every RFQ. Win rate improves with fast quotes.</t>
  </si>
  <si>
    <t>Low</t>
  </si>
  <si>
    <t>Standard coverage cadence; no unusual sensitivities noted.</t>
  </si>
  <si>
    <t>High</t>
  </si>
  <si>
    <t>Voice</t>
  </si>
  <si>
    <t>Low current wallet; responsive to sustainable-finance ideas but budget-constrained.</t>
  </si>
  <si>
    <t>Portal</t>
  </si>
  <si>
    <t>Bloomberg + Voice</t>
  </si>
  <si>
    <t>Commodity + FX combined structures preferred; decisions tied to freight-rate cycle.</t>
  </si>
  <si>
    <t>Programme-driven; ESG angle strong. Refi decisions via group funding committee.</t>
  </si>
  <si>
    <t>Asks for hedge-ratio benchmarking vs sector; values proactive USD exposure alerts.</t>
  </si>
  <si>
    <t>Policy-driven; benchmarks rate hedges. Cautious on commodity structures.</t>
  </si>
  <si>
    <t>ICE + Voice</t>
  </si>
  <si>
    <t>Layered fuel hedging; sensitive to basis and collateral costs.</t>
  </si>
  <si>
    <t>Cost-focused post-litigation; benchmarks multiple dealers on rates.</t>
  </si>
  <si>
    <t>Scenario_ID</t>
  </si>
  <si>
    <t>Scenario_Name</t>
  </si>
  <si>
    <t>Shock_Type</t>
  </si>
  <si>
    <t>Shock_Description</t>
  </si>
  <si>
    <t>Baseline_Metric</t>
  </si>
  <si>
    <t>Stressed_Outcome</t>
  </si>
  <si>
    <t>PnL_Impact_EUR_mm</t>
  </si>
  <si>
    <t>Risk_Flag</t>
  </si>
  <si>
    <t>SIM0001</t>
  </si>
  <si>
    <t>USD +10% appreciation</t>
  </si>
  <si>
    <t>EUR/USD moves +10% over 6m</t>
  </si>
  <si>
    <t>Unhedged USD exposure 6.0bn</t>
  </si>
  <si>
    <t>Translation loss on unhedged half</t>
  </si>
  <si>
    <t>-420</t>
  </si>
  <si>
    <t>SIM0002</t>
  </si>
  <si>
    <t>USD -10% depreciation</t>
  </si>
  <si>
    <t>EUR/USD moves -10% over 6m</t>
  </si>
  <si>
    <t>Translation gain</t>
  </si>
  <si>
    <t>+380</t>
  </si>
  <si>
    <t>SIM0003</t>
  </si>
  <si>
    <t>Rates +100bp</t>
  </si>
  <si>
    <t>Parallel +100bp shift</t>
  </si>
  <si>
    <t>Fixed coverage 45%</t>
  </si>
  <si>
    <t>Financing cost +80m/yr</t>
  </si>
  <si>
    <t>-80</t>
  </si>
  <si>
    <t>SIM0004</t>
  </si>
  <si>
    <t>Swap roll-off (no reset)</t>
  </si>
  <si>
    <t>EUR3bn IRS expires unhedged</t>
  </si>
  <si>
    <t>Fixed coverage 75%-&gt;45%</t>
  </si>
  <si>
    <t>Sensitivity increase</t>
  </si>
  <si>
    <t>-55</t>
  </si>
  <si>
    <t>SIM0005</t>
  </si>
  <si>
    <t>Refi at current spreads</t>
  </si>
  <si>
    <t>2028 bond refi at 4.5-5.0%</t>
  </si>
  <si>
    <t>Coupon 1.75%</t>
  </si>
  <si>
    <t>Incremental interest cost</t>
  </si>
  <si>
    <t>-45</t>
  </si>
  <si>
    <t>SIM0006</t>
  </si>
  <si>
    <t>Brent +20%</t>
  </si>
  <si>
    <t>Commodity</t>
  </si>
  <si>
    <t>Bunker fuel +20%</t>
  </si>
  <si>
    <t>Partial hedge</t>
  </si>
  <si>
    <t>Fuel cost increase</t>
  </si>
  <si>
    <t>-150</t>
  </si>
  <si>
    <t>SIM0007</t>
  </si>
  <si>
    <t>EUR/USD +5%</t>
  </si>
  <si>
    <t>USD receivables revalue</t>
  </si>
  <si>
    <t>Hedged 60%</t>
  </si>
  <si>
    <t>Small translation impact</t>
  </si>
  <si>
    <t>-25</t>
  </si>
  <si>
    <t>SIM0008</t>
  </si>
  <si>
    <t>Power price -15%</t>
  </si>
  <si>
    <t>Nordic power -15%</t>
  </si>
  <si>
    <t>Unhedged generation</t>
  </si>
  <si>
    <t>Revenue pressure</t>
  </si>
  <si>
    <t>-90</t>
  </si>
  <si>
    <t>SIM0009</t>
  </si>
  <si>
    <t>Refinance 2026-27 maturities at current curve</t>
  </si>
  <si>
    <t>1.20% avg coupon</t>
  </si>
  <si>
    <t>4.3% refi cost</t>
  </si>
  <si>
    <t>-155</t>
  </si>
  <si>
    <t>SIM0010</t>
  </si>
  <si>
    <t>EUR/USD +10%</t>
  </si>
  <si>
    <t>USD liability revaluation</t>
  </si>
  <si>
    <t>USD 2.5bn notes</t>
  </si>
  <si>
    <t>Translation impact on USD debt</t>
  </si>
  <si>
    <t>-95</t>
  </si>
  <si>
    <t>SIM0011</t>
  </si>
  <si>
    <t>EUR/USD +10% over 6m</t>
  </si>
  <si>
    <t>Unhedged USD ~8.0bn</t>
  </si>
  <si>
    <t>-560</t>
  </si>
  <si>
    <t>SIM0012</t>
  </si>
  <si>
    <t>EUR/USD -10% over 6m</t>
  </si>
  <si>
    <t>+520</t>
  </si>
  <si>
    <t>SIM0013</t>
  </si>
  <si>
    <t>Variable exposure 5.5bn</t>
  </si>
  <si>
    <t>Pretax income impact</t>
  </si>
  <si>
    <t>-34</t>
  </si>
  <si>
    <t>SIM0014</t>
  </si>
  <si>
    <t>Gas +20%</t>
  </si>
  <si>
    <t>TTF +20%</t>
  </si>
  <si>
    <t>Unhedged gas volume</t>
  </si>
  <si>
    <t>Raw-material cost increase</t>
  </si>
  <si>
    <t>-70</t>
  </si>
  <si>
    <t>SIM0015</t>
  </si>
  <si>
    <t>Brent +15% (2027)</t>
  </si>
  <si>
    <t>Brent +15% vs 2027 curve</t>
  </si>
  <si>
    <t>2027 hedge ~50%</t>
  </si>
  <si>
    <t>Unhedged fuel cost increase</t>
  </si>
  <si>
    <t>-210</t>
  </si>
  <si>
    <t>SIM0016</t>
  </si>
  <si>
    <t>EUR/USD -10%</t>
  </si>
  <si>
    <t>USD strengthens 10%</t>
  </si>
  <si>
    <t>USD-denominated fuel/aircraft</t>
  </si>
  <si>
    <t>Cost increase on short USD</t>
  </si>
  <si>
    <t>-130</t>
  </si>
  <si>
    <t>SIM0017</t>
  </si>
  <si>
    <t>Parallel +100bp on floating RCF</t>
  </si>
  <si>
    <t>RCF 3.0bn floating</t>
  </si>
  <si>
    <t>Financing cost increase</t>
  </si>
  <si>
    <t>-30</t>
  </si>
  <si>
    <t>SIM0018</t>
  </si>
  <si>
    <t>USD funding revaluation</t>
  </si>
  <si>
    <t>USD 5.0bn notes</t>
  </si>
  <si>
    <t>Translation impact</t>
  </si>
  <si>
    <t>-120</t>
  </si>
  <si>
    <t>Signal_ID</t>
  </si>
  <si>
    <t>Signal_Type</t>
  </si>
  <si>
    <t>Detection_Date</t>
  </si>
  <si>
    <t>GenAI_Narrative</t>
  </si>
  <si>
    <t>Urgency</t>
  </si>
  <si>
    <t>Suggested_Product</t>
  </si>
  <si>
    <t>Confidence_Pct</t>
  </si>
  <si>
    <t>Feeds_To</t>
  </si>
  <si>
    <t>SIG0001</t>
  </si>
  <si>
    <t>FX exposure shift</t>
  </si>
  <si>
    <t>North America revenue mix rose from 22% to 38% of sales, lifting annual USD exposure from ~$6bn to &gt;$12bn while hedge coverage stayed at ~50%. Estimated ~$6bn hedge gap. Recommend an FX risk-management review.</t>
  </si>
  <si>
    <t>FX hedging programme</t>
  </si>
  <si>
    <t>Commercial Analytics</t>
  </si>
  <si>
    <t>SIG0002</t>
  </si>
  <si>
    <t>Interest-rate exposure change</t>
  </si>
  <si>
    <t>EUR3bn of interest-rate swaps expire within 12 months, cutting fixed-rate coverage from 75% to 45% on EUR8bn floating debt. A +100bp move adds ~EUR80m of annual financing cost. Recommend a rates-hedging review.</t>
  </si>
  <si>
    <t>Rates hedging (IRS)</t>
  </si>
  <si>
    <t>SIG0003</t>
  </si>
  <si>
    <t>Debt maturity signal</t>
  </si>
  <si>
    <t>EUR1.5bn bond (1.75% coupon) matures Sep-2028 vs ~4.5-5.0% refi cost for comparable issuers, alongside ~EUR4bn renewable capex. Refinancing / hedging discussions likely in 6-12 months.</t>
  </si>
  <si>
    <t>DCM refinancing + rates hedge</t>
  </si>
  <si>
    <t>SIG0004</t>
  </si>
  <si>
    <t>Cash accumulation pattern</t>
  </si>
  <si>
    <t>Cash balances rose from EUR5bn to EUR9bn, signalling capacity for structured deposits, MMF optimisation or M&amp;A financing dialogue.</t>
  </si>
  <si>
    <t>Structured deposits / cash mgmt</t>
  </si>
  <si>
    <t>SIG0005</t>
  </si>
  <si>
    <t>Sector peer benchmarking</t>
  </si>
  <si>
    <t>Wallet penetration ~30% of peer average; client uses only standard FX forwards and basic lending vs peers' rates/SLL/commodity structures. Cross-sell whitespace in Rates, Sustainable Finance and Commodity Hedging.</t>
  </si>
  <si>
    <t>Sustainable finance + rates</t>
  </si>
  <si>
    <t>SIG0006</t>
  </si>
  <si>
    <t>Commodity + FX exposure</t>
  </si>
  <si>
    <t>Combined bunker-fuel and USD freight exposure with partial hedging; a +20% Brent move implies ~EUR150m impact. Opportunity for a combined commodity/FX structured hedge.</t>
  </si>
  <si>
    <t>Commodity + FX structured hedge</t>
  </si>
  <si>
    <t>SIG0007</t>
  </si>
  <si>
    <t>EUR10.127bn of bonds mature Jan-26 to Jun-27 against a board-authorised EUR12bn programme; refinancing/liability-management and green structuring likely within 6-12 months.</t>
  </si>
  <si>
    <t>SIG0008</t>
  </si>
  <si>
    <t>Revenue outlook lifted to EUR43-45bn with Korea/Taiwan mix up; USD/KRW/TWD exposure likely outpaced a static hedge programme. Signal only until cash-flow-by-currency and policy confirm the gap.</t>
  </si>
  <si>
    <t>SIG0009</t>
  </si>
  <si>
    <t>Variable-rate exposure rose EUR3.377bn to EUR5.497bn; +100bp reduces pretax income ~EUR34m. IR derivatives are hedge-accounting designated, so validate vs policy.</t>
  </si>
  <si>
    <t>SIG0010</t>
  </si>
  <si>
    <t>Commodity hedge gap</t>
  </si>
  <si>
    <t>FY-26 fuel ~81% hedged but 2027 only ~50% after resuming layered hedging; +EUR1.5bn YoY fuel cost. Recalibration window for 2027 fuel + FX.</t>
  </si>
  <si>
    <t>Fuel + FX hedging</t>
  </si>
  <si>
    <t>SIG0011</t>
  </si>
  <si>
    <t>Negative H1 FCF and high net debt, but a July USD5bn issue and facility resize may have addressed the need. Candidate to verify residual or close.</t>
  </si>
  <si>
    <t>Filing_Type</t>
  </si>
  <si>
    <t>Filing_Date</t>
  </si>
  <si>
    <t>Reported_Revenue_EUR_mm</t>
  </si>
  <si>
    <t>Total_Debt_EUR_mm</t>
  </si>
  <si>
    <t>Debt_Maturing_24m_EUR_mm</t>
  </si>
  <si>
    <t>NA_Revenue_Pct</t>
  </si>
  <si>
    <t>USD_Exposure_EUR_mm</t>
  </si>
  <si>
    <t>Source</t>
  </si>
  <si>
    <t>Annual Report 2024</t>
  </si>
  <si>
    <t>Company annual report (illustrative)</t>
  </si>
  <si>
    <t>News_ID</t>
  </si>
  <si>
    <t>Date</t>
  </si>
  <si>
    <t>Headline</t>
  </si>
  <si>
    <t>Category</t>
  </si>
  <si>
    <t>Sentiment</t>
  </si>
  <si>
    <t>Relevance_Score</t>
  </si>
  <si>
    <t>NEWS0001</t>
  </si>
  <si>
    <t>ASML lifts FY guidance on strong US demand</t>
  </si>
  <si>
    <t>Guidance</t>
  </si>
  <si>
    <t>Positive</t>
  </si>
  <si>
    <t>Newswire (illustrative)</t>
  </si>
  <si>
    <t>NEWS0002</t>
  </si>
  <si>
    <t>ASML expands US manufacturing footprint</t>
  </si>
  <si>
    <t>Expansion</t>
  </si>
  <si>
    <t>NEWS0003</t>
  </si>
  <si>
    <t>Stellantis reviews debt structure amid EV capex</t>
  </si>
  <si>
    <t>Refinancing</t>
  </si>
  <si>
    <t>Neutral</t>
  </si>
  <si>
    <t>NEWS0004</t>
  </si>
  <si>
    <t>Orsted weighs refinancing options for 2028 maturities</t>
  </si>
  <si>
    <t>NEWS0005</t>
  </si>
  <si>
    <t>2025-07-04</t>
  </si>
  <si>
    <t>Orsted commits EUR4bn to renewable capex</t>
  </si>
  <si>
    <t>Capex</t>
  </si>
  <si>
    <t>NEWS0006</t>
  </si>
  <si>
    <t>SAP reports rising cash balances after strong cloud quarter</t>
  </si>
  <si>
    <t>Earnings</t>
  </si>
  <si>
    <t>NEWS0007</t>
  </si>
  <si>
    <t>SAP appoints new Head of Treasury</t>
  </si>
  <si>
    <t>People</t>
  </si>
  <si>
    <t>NEWS0008</t>
  </si>
  <si>
    <t>2025-07-09</t>
  </si>
  <si>
    <t>Vattenfall accelerates fossil-free strategy</t>
  </si>
  <si>
    <t>ESG</t>
  </si>
  <si>
    <t>NEWS0009</t>
  </si>
  <si>
    <t>Maersk flags freight-rate volatility, reviews hedging</t>
  </si>
  <si>
    <t>Hedging</t>
  </si>
  <si>
    <t>NEWS0010</t>
  </si>
  <si>
    <t>Heineken expands in emerging markets</t>
  </si>
  <si>
    <t>NEWS0011</t>
  </si>
  <si>
    <t>2025-06-21</t>
  </si>
  <si>
    <t>Stellantis CFO comments on rates exposure</t>
  </si>
  <si>
    <t>NEWS0012</t>
  </si>
  <si>
    <t>Enel board authorises up to EUR12bn financing to 2027</t>
  </si>
  <si>
    <t>NEWS0013</t>
  </si>
  <si>
    <t>Enel outlines EUR-heavy 2026 refinancing needs</t>
  </si>
  <si>
    <t>NEWS0014</t>
  </si>
  <si>
    <t>ASML lifts FY guidance on strong US and Asia demand</t>
  </si>
  <si>
    <t>NEWS0015</t>
  </si>
  <si>
    <t>ASML Korea and Taiwan sales surge, China cools</t>
  </si>
  <si>
    <t>NEWS0016</t>
  </si>
  <si>
    <t>BASF flags higher variable-rate exposure and energy costs</t>
  </si>
  <si>
    <t>Risk</t>
  </si>
  <si>
    <t>NEWS0017</t>
  </si>
  <si>
    <t>BASF working capital pressured by raw-material prices</t>
  </si>
  <si>
    <t>Negative</t>
  </si>
  <si>
    <t>NEWS0018</t>
  </si>
  <si>
    <t>Lufthansa warns of EUR1.5bn higher 2026 fuel bill</t>
  </si>
  <si>
    <t>Cost</t>
  </si>
  <si>
    <t>NEWS0019</t>
  </si>
  <si>
    <t>Lufthansa resumes layered fuel hedging for 2027</t>
  </si>
  <si>
    <t>NEWS0020</t>
  </si>
  <si>
    <t>2025-07-11</t>
  </si>
  <si>
    <t>Bayer places USD5bn bonds across 5-30 year maturities</t>
  </si>
  <si>
    <t>Issuance</t>
  </si>
  <si>
    <t>NEWS0021</t>
  </si>
  <si>
    <t>2025-07-13</t>
  </si>
  <si>
    <t>Bayer cuts bank facility to USD3bn after bond sale</t>
  </si>
  <si>
    <t>Deal_ID</t>
  </si>
  <si>
    <t>Deal_Type</t>
  </si>
  <si>
    <t>Deal_Date</t>
  </si>
  <si>
    <t>Amount_EUR_mm</t>
  </si>
  <si>
    <t>Coupon_Pct</t>
  </si>
  <si>
    <t>Maturity</t>
  </si>
  <si>
    <t>Bookrunners</t>
  </si>
  <si>
    <t>ING_Participated</t>
  </si>
  <si>
    <t>DEAL0001</t>
  </si>
  <si>
    <t>Bond</t>
  </si>
  <si>
    <t>2032</t>
  </si>
  <si>
    <t>BNP, DB, ING</t>
  </si>
  <si>
    <t>DEAL0002</t>
  </si>
  <si>
    <t>2021-09-15</t>
  </si>
  <si>
    <t>2028</t>
  </si>
  <si>
    <t>JPM, HSBC</t>
  </si>
  <si>
    <t>DEAL0003</t>
  </si>
  <si>
    <t>Loan</t>
  </si>
  <si>
    <t>2024-11-20</t>
  </si>
  <si>
    <t>n/a</t>
  </si>
  <si>
    <t>2029</t>
  </si>
  <si>
    <t>Syndicate (12)</t>
  </si>
  <si>
    <t>DEAL0004</t>
  </si>
  <si>
    <t>2030</t>
  </si>
  <si>
    <t>GS, MS, Citi</t>
  </si>
  <si>
    <t>DEAL0005</t>
  </si>
  <si>
    <t>RCF</t>
  </si>
  <si>
    <t>Syndicate (8)</t>
  </si>
  <si>
    <t>DEAL0006</t>
  </si>
  <si>
    <t>Bond (Green)</t>
  </si>
  <si>
    <t>2024-09-12</t>
  </si>
  <si>
    <t>2031</t>
  </si>
  <si>
    <t>Nordea, DB, ING</t>
  </si>
  <si>
    <t>DEAL0007</t>
  </si>
  <si>
    <t>2023-05-18</t>
  </si>
  <si>
    <t>DB, JPM</t>
  </si>
  <si>
    <t>DEAL0008</t>
  </si>
  <si>
    <t>SLL</t>
  </si>
  <si>
    <t>2024-03-22</t>
  </si>
  <si>
    <t>SEB, Nordea</t>
  </si>
  <si>
    <t>DEAL0009</t>
  </si>
  <si>
    <t>DEAL0010</t>
  </si>
  <si>
    <t>2026</t>
  </si>
  <si>
    <t>DEAL0011</t>
  </si>
  <si>
    <t>2027</t>
  </si>
  <si>
    <t>DEAL0012</t>
  </si>
  <si>
    <t>Syndicate (10)</t>
  </si>
  <si>
    <t>DEAL0013</t>
  </si>
  <si>
    <t>2024-05-20</t>
  </si>
  <si>
    <t>DB, SG</t>
  </si>
  <si>
    <t>DEAL0014</t>
  </si>
  <si>
    <t>2026-07-10</t>
  </si>
  <si>
    <t>2031-2056</t>
  </si>
  <si>
    <t>JPM, BofA, DB</t>
  </si>
  <si>
    <t>DEAL0015</t>
  </si>
  <si>
    <t>Facility</t>
  </si>
  <si>
    <t>Instrument</t>
  </si>
  <si>
    <t>Value</t>
  </si>
  <si>
    <t>Unit</t>
  </si>
  <si>
    <t>EUR/USD 3M implied vol</t>
  </si>
  <si>
    <t>7.8</t>
  </si>
  <si>
    <t>%</t>
  </si>
  <si>
    <t>FX vol</t>
  </si>
  <si>
    <t>EUR/USD spot</t>
  </si>
  <si>
    <t>1.0850</t>
  </si>
  <si>
    <t>EUR 5Y swap</t>
  </si>
  <si>
    <t>2.62</t>
  </si>
  <si>
    <t>EUR 5Y swap MoM change</t>
  </si>
  <si>
    <t>-18</t>
  </si>
  <si>
    <t>bp</t>
  </si>
  <si>
    <t>EUR IG credit spread (5Y)</t>
  </si>
  <si>
    <t>92</t>
  </si>
  <si>
    <t>Credit</t>
  </si>
  <si>
    <t>Brent crude</t>
  </si>
  <si>
    <t>82.4</t>
  </si>
  <si>
    <t>USD/bbl</t>
  </si>
  <si>
    <t>Nordic power (base)</t>
  </si>
  <si>
    <t>41</t>
  </si>
  <si>
    <t>EUR/MWh</t>
  </si>
  <si>
    <t>USD/DKK spot</t>
  </si>
  <si>
    <t>6.87</t>
  </si>
  <si>
    <t>EUR 2Y swap</t>
  </si>
  <si>
    <t>2.41</t>
  </si>
  <si>
    <t>EUR 10Y swap</t>
  </si>
  <si>
    <t>2.79</t>
  </si>
  <si>
    <t>Sector</t>
  </si>
  <si>
    <t>Metric</t>
  </si>
  <si>
    <t>Peer_Avg_Pct</t>
  </si>
  <si>
    <t>Sample_Size</t>
  </si>
  <si>
    <t>Client_Value_Pct</t>
  </si>
  <si>
    <t>Gap_vs_Peer_Pct</t>
  </si>
  <si>
    <t>Whitespace_Flag</t>
  </si>
  <si>
    <t>Uses interest-rate swaps</t>
  </si>
  <si>
    <t>Sustainability-linked financing</t>
  </si>
  <si>
    <t>Structured commodity hedging</t>
  </si>
  <si>
    <t>Cross-currency hedging</t>
  </si>
  <si>
    <t>FX hedge ratio vs exposure</t>
  </si>
  <si>
    <t>Fixed-rate coverage</t>
  </si>
  <si>
    <t>Cash optimisation programmes</t>
  </si>
  <si>
    <t>Commodity hedging programmes</t>
  </si>
  <si>
    <t>FX hedge ratio</t>
  </si>
  <si>
    <t>FX options usage</t>
  </si>
  <si>
    <t>Commodity hedging</t>
  </si>
  <si>
    <t>Working-capital financing</t>
  </si>
  <si>
    <t>2027 fuel hedge ratio</t>
  </si>
  <si>
    <t>FX hedging</t>
  </si>
  <si>
    <t>Forward-period coverage</t>
  </si>
  <si>
    <t>Pharmaceuticals</t>
  </si>
  <si>
    <t>Capital-structure solutions</t>
  </si>
  <si>
    <t>Role</t>
  </si>
  <si>
    <t>Name</t>
  </si>
  <si>
    <t>Appointment_Date</t>
  </si>
  <si>
    <t>Change_Flag</t>
  </si>
  <si>
    <t>2013-06-01</t>
  </si>
  <si>
    <t>Stable</t>
  </si>
  <si>
    <t>2018-06-01</t>
  </si>
  <si>
    <t>2023-06-19</t>
  </si>
  <si>
    <t>Recent change — coverage trigger</t>
  </si>
  <si>
    <t>2023-01-01</t>
  </si>
  <si>
    <t>(new appointee)</t>
  </si>
  <si>
    <t>2020-09-01</t>
  </si>
  <si>
    <t>2022-01-01</t>
  </si>
  <si>
    <t>2024-01-01</t>
  </si>
  <si>
    <t>Stefano De Angelis</t>
  </si>
  <si>
    <t>2023-05-10</t>
  </si>
  <si>
    <t>Appointed 2023 — relationship reset</t>
  </si>
  <si>
    <t>2018-05-01</t>
  </si>
  <si>
    <t>Net_Zero_Target_Year</t>
  </si>
  <si>
    <t>Green_Capex_EUR_mm</t>
  </si>
  <si>
    <t>SLL_In_Place</t>
  </si>
  <si>
    <t>Transition_Plan_Status</t>
  </si>
  <si>
    <t>ESG_Rating</t>
  </si>
  <si>
    <t>Advanced</t>
  </si>
  <si>
    <t>AAA</t>
  </si>
  <si>
    <t>Established</t>
  </si>
  <si>
    <t>Developing</t>
  </si>
  <si>
    <t>Trigger_Category</t>
  </si>
  <si>
    <t>KPI</t>
  </si>
  <si>
    <t>Trigger_Threshold_Text</t>
  </si>
  <si>
    <t>Operator</t>
  </si>
  <si>
    <t>Threshold_Value</t>
  </si>
  <si>
    <t>Debt Maturity</t>
  </si>
  <si>
    <t>Debt Maturing &lt; 24 Months</t>
  </si>
  <si>
    <t>&gt;15% of Total Debt</t>
  </si>
  <si>
    <t>&gt;</t>
  </si>
  <si>
    <t>Refinancing Cost Increase</t>
  </si>
  <si>
    <t>&gt;150bps</t>
  </si>
  <si>
    <t>Fixed/Floating Debt Ratio</t>
  </si>
  <si>
    <t>Fixed &lt;60%</t>
  </si>
  <si>
    <t>&lt;</t>
  </si>
  <si>
    <t>Interest Coverage Ratio</t>
  </si>
  <si>
    <t>&lt;4.5x</t>
  </si>
  <si>
    <t>Weighted Avg Debt Maturity</t>
  </si>
  <si>
    <t>&lt;4 Years</t>
  </si>
  <si>
    <t>FX Exposure Shift</t>
  </si>
  <si>
    <t>Natural Hedge Coverage</t>
  </si>
  <si>
    <t>&lt;50%</t>
  </si>
  <si>
    <t>Hedge Ratio</t>
  </si>
  <si>
    <t>&lt;70% Policy Target</t>
  </si>
  <si>
    <t>Unhedged FX Exposure</t>
  </si>
  <si>
    <t>&gt;$2B</t>
  </si>
  <si>
    <t>FX VaR</t>
  </si>
  <si>
    <t>&gt;25% increase YoY</t>
  </si>
  <si>
    <t>Treasury Earnings Sensitivity</t>
  </si>
  <si>
    <t>&gt;EUR100M</t>
  </si>
  <si>
    <t>Interest Rate Exposure</t>
  </si>
  <si>
    <t>Floating Debt Ratio</t>
  </si>
  <si>
    <t>&gt;40%</t>
  </si>
  <si>
    <t>&lt;60%</t>
  </si>
  <si>
    <t>Interest Expense Sensitivity</t>
  </si>
  <si>
    <t>&gt;EUR25M</t>
  </si>
  <si>
    <t>Swap Maturity Concentration</t>
  </si>
  <si>
    <t>&gt;20% debt portfolio</t>
  </si>
  <si>
    <t>EBITDA Interest Cover</t>
  </si>
  <si>
    <t>&lt;5.0x</t>
  </si>
  <si>
    <t>Client_Value</t>
  </si>
  <si>
    <t>Threshold</t>
  </si>
  <si>
    <t>Triggered</t>
  </si>
  <si>
    <t>Commodity Hedge Gap</t>
  </si>
  <si>
    <t>2027 Fuel Hedge Ratio</t>
  </si>
  <si>
    <t>Refinancing Need (post-issuance)</t>
  </si>
  <si>
    <t>Opportunity_Type</t>
  </si>
  <si>
    <t>Trigger_Source</t>
  </si>
  <si>
    <t>Propensity_Score</t>
  </si>
  <si>
    <t>Value_Score</t>
  </si>
  <si>
    <t>Priority_Score</t>
  </si>
  <si>
    <t>Rank</t>
  </si>
  <si>
    <t>Next_Best_Action</t>
  </si>
  <si>
    <t>Why_Now_NLG</t>
  </si>
  <si>
    <t>OPPCA101</t>
  </si>
  <si>
    <t>FX exposure shift (hedge gap ~$6bn)</t>
  </si>
  <si>
    <t>Propose staged FX hedging programme to close ~$6bn gap</t>
  </si>
  <si>
    <t>North America revenue mix jumped 22%-&gt;38%; USD exposure doubled to &gt;$12bn while hedge stayed at ~50%.</t>
  </si>
  <si>
    <t>Pitchbook Creation</t>
  </si>
  <si>
    <t>OPPCA102</t>
  </si>
  <si>
    <t>Swap roll-off; fixed coverage 75%-&gt;45%</t>
  </si>
  <si>
    <t>Schedule rates-hedging review before EUR3bn swaps expire</t>
  </si>
  <si>
    <t>EUR3bn swaps expire in 12m; +100bp = ~EUR80m extra cost.</t>
  </si>
  <si>
    <t>OPPCA103</t>
  </si>
  <si>
    <t>DCM refi + rates hedge</t>
  </si>
  <si>
    <t>2028 bond maturity vs 4.5-5.0% refi</t>
  </si>
  <si>
    <t>Open early refinancing dialogue and pre-hedge rate risk</t>
  </si>
  <si>
    <t>EUR1.5bn 1.75% bond matures 2028 vs 4.5-5.0% refi; EUR4bn capex ahead.</t>
  </si>
  <si>
    <t>OPPCA104</t>
  </si>
  <si>
    <t>Combined bunker + freight USD exposure</t>
  </si>
  <si>
    <t>Pitch combined commodity/FX structured hedge</t>
  </si>
  <si>
    <t>+20% Brent implies ~EUR150m impact; partial hedge only.</t>
  </si>
  <si>
    <t>OPPCA105</t>
  </si>
  <si>
    <t>Cash build EUR5bn-&gt;EUR9bn</t>
  </si>
  <si>
    <t>Propose structured deposit &amp; MMF optimisation</t>
  </si>
  <si>
    <t>Cash balances up EUR4bn; capacity for yield optimisation.</t>
  </si>
  <si>
    <t>OPPCA106</t>
  </si>
  <si>
    <t>Wallet ~30% of peer average</t>
  </si>
  <si>
    <t>Introduce SLL and rates structures to lift wallet share</t>
  </si>
  <si>
    <t>Uses only FX forwards + basic lending vs peers' broader toolkit.</t>
  </si>
  <si>
    <t>OPPCA107</t>
  </si>
  <si>
    <t>Growing LatAm/APAC FX flows</t>
  </si>
  <si>
    <t>Propose EM FX hedging framework</t>
  </si>
  <si>
    <t>Rising emerging-market currency flows, largely unhedged.</t>
  </si>
  <si>
    <t>OPPCA108</t>
  </si>
  <si>
    <t>Stale pipeline; facility review</t>
  </si>
  <si>
    <t>Re-engage on working-capital facility refinance</t>
  </si>
  <si>
    <t>Facility review overdue; relationship expansion opportunity.</t>
  </si>
  <si>
    <t>DCM refi + sustainable liability mgmt</t>
  </si>
  <si>
    <t>EUR10.127bn maturities + EUR12bn programme</t>
  </si>
  <si>
    <t>Open early refinancing dialogue; test green/SLL structuring</t>
  </si>
  <si>
    <t>EUR10.127bn matures 2026-27 vs 4.3% refi cost; board authorised EUR12bn; EUR4bn+ capex ahead.</t>
  </si>
  <si>
    <t>FX exposure shift (hedge gap ~$8bn)</t>
  </si>
  <si>
    <t>Propose staged FX hedging programme to close ~$8bn gap</t>
  </si>
  <si>
    <t>Revenue outlook EUR43-45bn; Korea/Taiwan mix up; USD-bloc exposure &gt;$12bn while hedge ~50%.</t>
  </si>
  <si>
    <t>Rates + commodity hedge review</t>
  </si>
  <si>
    <t>Variable-rate exposure EUR3.4bn-&gt;EUR5.5bn</t>
  </si>
  <si>
    <t>Review floating-rate exposure vs policy; assess commodity hedging</t>
  </si>
  <si>
    <t>Variable-rate exposure up ~63%; +100bp = -EUR34m pretax; validate vs designated hedges.</t>
  </si>
  <si>
    <t>2027 fuel + FX hedge</t>
  </si>
  <si>
    <t>2027 fuel ~50% vs policy; +EUR1.5bn fuel cost</t>
  </si>
  <si>
    <t>Build/recalibrate 2027 fuel hedge; manage Brent-gasoil-jet basis + EUR/USD</t>
  </si>
  <si>
    <t>FY-26 ~81% hedged but 2027 ~50%; +EUR1.5bn YoY fuel cost; layered build resumed Q2.</t>
  </si>
  <si>
    <t>Residual liability mgmt (verify)</t>
  </si>
  <si>
    <t>July $5bn issue may have addressed need</t>
  </si>
  <si>
    <t>Verify residual need vs July issuance before pursuing</t>
  </si>
  <si>
    <t>H1 FCF -EUR2.69bn, ND EUR33.6bn, but $5bn July bond + facility resize may have addressed it.</t>
  </si>
  <si>
    <t>Pitchbook_ID</t>
  </si>
  <si>
    <t>Selected_By</t>
  </si>
  <si>
    <t>Selected_Date</t>
  </si>
  <si>
    <t>Target_Product</t>
  </si>
  <si>
    <t>Trigger_Summary</t>
  </si>
  <si>
    <t>PB0001</t>
  </si>
  <si>
    <t>PB0002</t>
  </si>
  <si>
    <t>PB0003</t>
  </si>
  <si>
    <t>PB0004</t>
  </si>
  <si>
    <t>PB0005</t>
  </si>
  <si>
    <t>PB0006</t>
  </si>
  <si>
    <t>PB0007</t>
  </si>
  <si>
    <t>PB0008</t>
  </si>
  <si>
    <t>Liability management</t>
  </si>
  <si>
    <t>Debt maturity signal (verify)</t>
  </si>
  <si>
    <t>Situation_Update</t>
  </si>
  <si>
    <t>Process_Status</t>
  </si>
  <si>
    <t>Key_Considerations</t>
  </si>
  <si>
    <t>Trigger_Detail</t>
  </si>
  <si>
    <t>USD exposure has doubled to &gt;$12bn as North America revenue mix rose from 22% to 38%, while FX hedge coverage remained at ~50%.</t>
  </si>
  <si>
    <t>Coverage-led; hedging review requested by CFO</t>
  </si>
  <si>
    <t>Hedge gap ~$6bn; policy target vs actual coverage; staged execution to manage vol.</t>
  </si>
  <si>
    <t>FX exposure shift trigger fired (hedge ratio &lt;70%, unhedged &gt;$2bn).</t>
  </si>
  <si>
    <t>A EUR3bn interest-rate swap portfolio expires within 12 months, cutting fixed-rate coverage from 75% to 45% on EUR8bn of floating debt.</t>
  </si>
  <si>
    <t>Rates-hedging review scheduled</t>
  </si>
  <si>
    <t>A +100bp move adds ~EUR80m annual financing cost; swap re-hedging strategy.</t>
  </si>
  <si>
    <t>Interest-rate exposure trigger fired (floating &gt;40%, hedge &lt;60%).</t>
  </si>
  <si>
    <t>A EUR1.5bn bond (1.75% coupon) matures in Sep-2028 against comparable refi costs of 4.5-5.0%, alongside a ~EUR4bn renewable capex programme.</t>
  </si>
  <si>
    <t>Early refinancing dialogue</t>
  </si>
  <si>
    <t>Refi timing, pre-hedging of rate risk, green/SLL structuring options.</t>
  </si>
  <si>
    <t>Debt maturity + refinancing-cost triggers approaching.</t>
  </si>
  <si>
    <t>EUR10.127bn of bonds mature Jan-26 to Jun-27; board authorised up to EUR12bn of financing to Mar-27 alongside a large renewable capex plan.</t>
  </si>
  <si>
    <t>Refi timing, EUR/USD/BRL liability mix, green/SLL structuring, pre-hedging of rate risk.</t>
  </si>
  <si>
    <t>Debt-maturity + refinancing-cost triggers approaching.</t>
  </si>
  <si>
    <t>USD-bloc exposure rose as Korea/Taiwan revenue mix increased, while FX hedge coverage stayed near 50%.</t>
  </si>
  <si>
    <t>Estimated ~$8bn hedge gap; policy target vs actual coverage; staged execution to manage vol.</t>
  </si>
  <si>
    <t>FX exposure-shift trigger fired (hedge ratio &lt;70%, unhedged &gt;$2bn).</t>
  </si>
  <si>
    <t>Variable interest-rate exposure rose from EUR3.377bn to EUR5.497bn; +100bp reduces pretax income ~EUR34m; raw-material costs pressured working capital.</t>
  </si>
  <si>
    <t>Rates/commodity review scheduled</t>
  </si>
  <si>
    <t>Validate vs hedge-accounting designation and policy; swap/cap/collar options; working-capital financing.</t>
  </si>
  <si>
    <t>Interest-rate exposure trigger fired (floating &gt;40%, sensitivity &gt;EUR25m).</t>
  </si>
  <si>
    <t>FY-26 fuel ~81% hedged but 2027 only ~50%; fuel bill +EUR1.5bn YoY; layered 2027 hedging resumed in Q2-26.</t>
  </si>
  <si>
    <t>Fuel-hedge advisory (2027)</t>
  </si>
  <si>
    <t>2027 volume profile, Brent-gasoil-jet basis, EUR/USD coverage, collateral requirements.</t>
  </si>
  <si>
    <t>Commodity hedge-gap trigger fired (2027 hedge &lt;policy).</t>
  </si>
  <si>
    <t>H1-26 FCF -EUR2.691bn and net debt EUR33.64bn, but a July $5bn bond and facility resize may have addressed the near-term need.</t>
  </si>
  <si>
    <t>Verify residual before pursuing</t>
  </si>
  <si>
    <t>Use of proceeds, remaining maturities, Apollo conditions, rating headroom, whether ING was in the syndicate.</t>
  </si>
  <si>
    <t>Debt-maturity signal — candidate to CLOSE/verify after subsequent financing.</t>
  </si>
  <si>
    <t>Business_Model</t>
  </si>
  <si>
    <t>Scale</t>
  </si>
  <si>
    <t>Market_Position</t>
  </si>
  <si>
    <t>Revenue_Quality</t>
  </si>
  <si>
    <t>Competitive_Moat</t>
  </si>
  <si>
    <t>Leading supplier of photolithography systems enabling advanced-node chip manufacturing.</t>
  </si>
  <si>
    <t>~EUR28bn revenue; global installed base</t>
  </si>
  <si>
    <t>Dominant / effective monopoly in EUV lithography</t>
  </si>
  <si>
    <t>High-quality recurring service &amp; upgrade revenue</t>
  </si>
  <si>
    <t>EUV technology lead; multi-year R&amp;D and IP moat</t>
  </si>
  <si>
    <t>Global multi-brand automotive OEM formed from FCA-PSA merger.</t>
  </si>
  <si>
    <t>~EUR190bn revenue; 14 brands</t>
  </si>
  <si>
    <t>Top-tier global scale OEM</t>
  </si>
  <si>
    <t>Cyclical but broad brand &amp; geographic diversification</t>
  </si>
  <si>
    <t>Scale, brand portfolio and platform synergies</t>
  </si>
  <si>
    <t>World-leading developer and operator of offshore wind farms.</t>
  </si>
  <si>
    <t>~EUR42bn revenue; global renewables leader</t>
  </si>
  <si>
    <t>Global #1 in offshore wind</t>
  </si>
  <si>
    <t>Long-dated, largely contracted renewable cash flows</t>
  </si>
  <si>
    <t>First-mover scale in offshore wind; strong ESG positioning</t>
  </si>
  <si>
    <t>Integrated multinational electric utility — generation, distribution and retail, with a large renewables platform.</t>
  </si>
  <si>
    <t>~EUR95bn revenue; global utility</t>
  </si>
  <si>
    <t>Leading European integrated utility</t>
  </si>
  <si>
    <t>Largely regulated / contracted cash flows</t>
  </si>
  <si>
    <t>Scale, grids and renewables pipeline</t>
  </si>
  <si>
    <t>~EUR28-45bn revenue; global installed base</t>
  </si>
  <si>
    <t>World's largest chemical producer — integrated Verbund sites across chemicals, materials and agriculture.</t>
  </si>
  <si>
    <t>~EUR65bn revenue; global chemicals</t>
  </si>
  <si>
    <t>Global #1 chemicals by sales</t>
  </si>
  <si>
    <t>Cyclical; integrated cost advantage</t>
  </si>
  <si>
    <t>Verbund integration; scale and R&amp;D</t>
  </si>
  <si>
    <t>Aviation group — passenger airlines, logistics (cargo), MRO and catering.</t>
  </si>
  <si>
    <t>~EUR38bn revenue; leading European group</t>
  </si>
  <si>
    <t>Top-tier European network carrier</t>
  </si>
  <si>
    <t>Cyclical; fuel- and FX-sensitive</t>
  </si>
  <si>
    <t>Hub network, loyalty and MRO franchise</t>
  </si>
  <si>
    <t>Life-sciences group across pharmaceuticals, consumer health and crop science.</t>
  </si>
  <si>
    <t>~EUR47bn revenue; global life sciences</t>
  </si>
  <si>
    <t>Top-tier pharma &amp; agri player</t>
  </si>
  <si>
    <t>Mixed; litigation overhang</t>
  </si>
  <si>
    <t>Pharma pipeline and crop-science scale</t>
  </si>
  <si>
    <t>Revenue_Relevance_Pct</t>
  </si>
  <si>
    <t>Positioning</t>
  </si>
  <si>
    <t>Differentiation</t>
  </si>
  <si>
    <t>EUV lithography systems</t>
  </si>
  <si>
    <t>Premium / sole-source</t>
  </si>
  <si>
    <t>Only viable EUV supplier</t>
  </si>
  <si>
    <t>DUV systems</t>
  </si>
  <si>
    <t>Market leader</t>
  </si>
  <si>
    <t>Broad installed base</t>
  </si>
  <si>
    <t>Installed base management (service)</t>
  </si>
  <si>
    <t>Recurring</t>
  </si>
  <si>
    <t>High-margin annuity</t>
  </si>
  <si>
    <t>Mass-market brands</t>
  </si>
  <si>
    <t>Volume leader</t>
  </si>
  <si>
    <t>Scale &amp; cost</t>
  </si>
  <si>
    <t>Premium brands</t>
  </si>
  <si>
    <t>Differentiated</t>
  </si>
  <si>
    <t>Brand equity</t>
  </si>
  <si>
    <t>Financial services / mobility</t>
  </si>
  <si>
    <t>Growth</t>
  </si>
  <si>
    <t>Captive finance</t>
  </si>
  <si>
    <t>Offshore wind generation</t>
  </si>
  <si>
    <t>Global #1</t>
  </si>
  <si>
    <t>Scale &amp; track record</t>
  </si>
  <si>
    <t>Onshore &amp; solar</t>
  </si>
  <si>
    <t>Growing</t>
  </si>
  <si>
    <t>Portfolio diversification</t>
  </si>
  <si>
    <t>Energy trading &amp; services</t>
  </si>
  <si>
    <t>Enabler</t>
  </si>
  <si>
    <t>Route-to-market</t>
  </si>
  <si>
    <t>Power generation (renewables)</t>
  </si>
  <si>
    <t>Largest offshore/onshore renewables pipeline</t>
  </si>
  <si>
    <t>Networks / distribution</t>
  </si>
  <si>
    <t>Regulated</t>
  </si>
  <si>
    <t>Large regulated asset base</t>
  </si>
  <si>
    <t>Retail &amp; energy services</t>
  </si>
  <si>
    <t>Broad customer base</t>
  </si>
  <si>
    <t>Installed-base management (service)</t>
  </si>
  <si>
    <t>Chemicals &amp; materials</t>
  </si>
  <si>
    <t>Cost leader</t>
  </si>
  <si>
    <t>Verbund integration</t>
  </si>
  <si>
    <t>Industrial solutions</t>
  </si>
  <si>
    <t>Diversified</t>
  </si>
  <si>
    <t>Broad end-markets</t>
  </si>
  <si>
    <t>Agricultural solutions</t>
  </si>
  <si>
    <t>Specialty</t>
  </si>
  <si>
    <t>Seeds &amp; crop protection</t>
  </si>
  <si>
    <t>Passenger airlines</t>
  </si>
  <si>
    <t>Network carrier</t>
  </si>
  <si>
    <t>Hub-and-spoke scale</t>
  </si>
  <si>
    <t>Logistics (cargo)</t>
  </si>
  <si>
    <t>Leader</t>
  </si>
  <si>
    <t>Global freight network</t>
  </si>
  <si>
    <t>MRO (Technik)</t>
  </si>
  <si>
    <t>Third-party maintenance franchise</t>
  </si>
  <si>
    <t>Innovator</t>
  </si>
  <si>
    <t>Cardio/onco pipeline</t>
  </si>
  <si>
    <t>Crop science</t>
  </si>
  <si>
    <t>Seeds &amp; crop protection scale</t>
  </si>
  <si>
    <t>Consumer health</t>
  </si>
  <si>
    <t>Brands</t>
  </si>
  <si>
    <t>OTC brand portfolio</t>
  </si>
  <si>
    <t>Period</t>
  </si>
  <si>
    <t>Revenue</t>
  </si>
  <si>
    <t>28,300</t>
  </si>
  <si>
    <t>EUR mm</t>
  </si>
  <si>
    <t>FY2024</t>
  </si>
  <si>
    <t>Company filings / market data (illustrative)</t>
  </si>
  <si>
    <t>EBIT margin</t>
  </si>
  <si>
    <t>32.0</t>
  </si>
  <si>
    <t>Net cash</t>
  </si>
  <si>
    <t>5,200</t>
  </si>
  <si>
    <t>USD exposure</t>
  </si>
  <si>
    <t>12,000</t>
  </si>
  <si>
    <t>Hedge coverage</t>
  </si>
  <si>
    <t>50</t>
  </si>
  <si>
    <t>Current</t>
  </si>
  <si>
    <t>189,500</t>
  </si>
  <si>
    <t>Floating-rate debt</t>
  </si>
  <si>
    <t>8,000</t>
  </si>
  <si>
    <t>45</t>
  </si>
  <si>
    <t>Post roll-off</t>
  </si>
  <si>
    <t>Rate sensitivity (+100bp)</t>
  </si>
  <si>
    <t>EUR mm/yr</t>
  </si>
  <si>
    <t>42,000</t>
  </si>
  <si>
    <t>Bond maturing 2028</t>
  </si>
  <si>
    <t>1,500</t>
  </si>
  <si>
    <t>Current coupon</t>
  </si>
  <si>
    <t>1.75</t>
  </si>
  <si>
    <t>On 2028 bond</t>
  </si>
  <si>
    <t>Refi cost (comparable)</t>
  </si>
  <si>
    <t>4.5-5.0</t>
  </si>
  <si>
    <t>Renewable capex plan</t>
  </si>
  <si>
    <t>4,000</t>
  </si>
  <si>
    <t>3-year</t>
  </si>
  <si>
    <t>Company filings (illustrative)</t>
  </si>
  <si>
    <t>Net financial debt</t>
  </si>
  <si>
    <t>H1 2026</t>
  </si>
  <si>
    <t>Available liquidity</t>
  </si>
  <si>
    <t>Variable-rate exposure</t>
  </si>
  <si>
    <t>FY2025</t>
  </si>
  <si>
    <t>EBITDA margin</t>
  </si>
  <si>
    <t>2026 fuel hedge ratio</t>
  </si>
  <si>
    <t>FY2026</t>
  </si>
  <si>
    <t>FY2027</t>
  </si>
  <si>
    <t>H1 free cash flow</t>
  </si>
  <si>
    <t>Title</t>
  </si>
  <si>
    <t>Tenure_Years</t>
  </si>
  <si>
    <t>Prior_Experience</t>
  </si>
  <si>
    <t>Background</t>
  </si>
  <si>
    <t>Deloitte (Global Board)</t>
  </si>
  <si>
    <t>Audit &amp; finance leadership</t>
  </si>
  <si>
    <t>Christophe Fouquet</t>
  </si>
  <si>
    <t>CEO</t>
  </si>
  <si>
    <t>ASML (EUV division)</t>
  </si>
  <si>
    <t>Deep product &amp; technology background</t>
  </si>
  <si>
    <t>adidas CFO</t>
  </si>
  <si>
    <t>Consumer &amp; finance leadership</t>
  </si>
  <si>
    <t>Carlos Tavares (former)</t>
  </si>
  <si>
    <t>ex-CEO</t>
  </si>
  <si>
    <t>PSA Group</t>
  </si>
  <si>
    <t>Automotive turnaround track record</t>
  </si>
  <si>
    <t>DONG Energy</t>
  </si>
  <si>
    <t>Utilities finance &amp; capital markets</t>
  </si>
  <si>
    <t>Mads Nipper</t>
  </si>
  <si>
    <t>Grundfos</t>
  </si>
  <si>
    <t>Industrial &amp; sustainability leadership</t>
  </si>
  <si>
    <t>Enel (Grids)</t>
  </si>
  <si>
    <t>Finance &amp; operations leadership</t>
  </si>
  <si>
    <t>Flavio Cattaneo</t>
  </si>
  <si>
    <t>Terna, Italo</t>
  </si>
  <si>
    <t>Infrastructure &amp; turnaround</t>
  </si>
  <si>
    <t>BASF (various)</t>
  </si>
  <si>
    <t>Finance &amp; controlling</t>
  </si>
  <si>
    <t>Vodafone Germany</t>
  </si>
  <si>
    <t>Telecoms &amp; finance leadership</t>
  </si>
  <si>
    <t>Western Digital, ASML</t>
  </si>
  <si>
    <t>Global finance leadership</t>
  </si>
  <si>
    <t>Customer_Name</t>
  </si>
  <si>
    <t>End_Market</t>
  </si>
  <si>
    <t>Relationship_Since</t>
  </si>
  <si>
    <t>TSMC</t>
  </si>
  <si>
    <t>Foundry</t>
  </si>
  <si>
    <t>2010</t>
  </si>
  <si>
    <t>Samsung</t>
  </si>
  <si>
    <t>Memory/Foundry</t>
  </si>
  <si>
    <t>2011</t>
  </si>
  <si>
    <t>Intel</t>
  </si>
  <si>
    <t>IDM</t>
  </si>
  <si>
    <t>2012</t>
  </si>
  <si>
    <t>Fleet &amp; mobility operators</t>
  </si>
  <si>
    <t>2021</t>
  </si>
  <si>
    <t>National grid offtakers</t>
  </si>
  <si>
    <t>Utilities</t>
  </si>
  <si>
    <t>2015</t>
  </si>
  <si>
    <t>Corporate PPA buyers</t>
  </si>
  <si>
    <t>Corporates</t>
  </si>
  <si>
    <t>2018</t>
  </si>
  <si>
    <t>Large industrial offtakers (PPAs)</t>
  </si>
  <si>
    <t>Corporate PPAs</t>
  </si>
  <si>
    <t>Public / municipal utilities</t>
  </si>
  <si>
    <t>Distribution</t>
  </si>
  <si>
    <t>Automotive OEMs</t>
  </si>
  <si>
    <t>Coatings/materials</t>
  </si>
  <si>
    <t>Agricultural distributors</t>
  </si>
  <si>
    <t>Corporate travel accounts</t>
  </si>
  <si>
    <t>Passenger</t>
  </si>
  <si>
    <t>Global freight forwarders</t>
  </si>
  <si>
    <t>Cargo</t>
  </si>
  <si>
    <t>Hospital / pharmacy networks</t>
  </si>
  <si>
    <t>Pharma</t>
  </si>
  <si>
    <t>Agricultural cooperatives</t>
  </si>
  <si>
    <t>Content_ID</t>
  </si>
  <si>
    <t>Content_Type</t>
  </si>
  <si>
    <t>Approved_Date</t>
  </si>
  <si>
    <t>Compliance_Label</t>
  </si>
  <si>
    <t>Snippet</t>
  </si>
  <si>
    <t>CONT001</t>
  </si>
  <si>
    <t>Research</t>
  </si>
  <si>
    <t>ING FX Outlook Q3 2025</t>
  </si>
  <si>
    <t>Marketing Communication</t>
  </si>
  <si>
    <t>EUR/USD range-bound; hedging into strength recommended.</t>
  </si>
  <si>
    <t>CONT002</t>
  </si>
  <si>
    <t>ING Rates Strategy — swap roll-off risk</t>
  </si>
  <si>
    <t>Clients with expiring swap books face rising sensitivity.</t>
  </si>
  <si>
    <t>CONT003</t>
  </si>
  <si>
    <t>House View</t>
  </si>
  <si>
    <t>ING Macro House View July 2025</t>
  </si>
  <si>
    <t>Cross-asset</t>
  </si>
  <si>
    <t>Higher-for-longer rates base case.</t>
  </si>
  <si>
    <t>CONT004</t>
  </si>
  <si>
    <t>Disclaimer</t>
  </si>
  <si>
    <t>Standard FM marketing disclaimer</t>
  </si>
  <si>
    <t>All</t>
  </si>
  <si>
    <t>Regulatory Disclaimer</t>
  </si>
  <si>
    <t>This material is a marketing communication...</t>
  </si>
  <si>
    <t>CONT005</t>
  </si>
  <si>
    <t>Not investment advice notice</t>
  </si>
  <si>
    <t>Does not constitute investment advice.</t>
  </si>
  <si>
    <t>CONT006</t>
  </si>
  <si>
    <t>Template</t>
  </si>
  <si>
    <t>FM Pitchbook master template</t>
  </si>
  <si>
    <t>Brand Template</t>
  </si>
  <si>
    <t>ING-branded 6-slide pitchbook shell.</t>
  </si>
  <si>
    <t>CONT007</t>
  </si>
  <si>
    <t>ING Sustainable Finance primer</t>
  </si>
  <si>
    <t>SLL and green structures overview.</t>
  </si>
  <si>
    <t>CONT008</t>
  </si>
  <si>
    <t>ING Commodity note — Brent</t>
  </si>
  <si>
    <t>Bunker fuel hedging considerations.</t>
  </si>
  <si>
    <t>CONT009</t>
  </si>
  <si>
    <t>ING Utilities Outlook 2026</t>
  </si>
  <si>
    <t>2026-01-20</t>
  </si>
  <si>
    <t>Utilities to invest ~EUR173bn in 2026; funding pressure where capex exceeds cash flow.</t>
  </si>
  <si>
    <t>CONT010</t>
  </si>
  <si>
    <t>ING Oil &amp; Energy View Q3 2026</t>
  </si>
  <si>
    <t>2026-02-05</t>
  </si>
  <si>
    <t>Brent ~$80/bbl Q3-26, ~$74/bbl Q4-26; geopolitical disruption risk persists.</t>
  </si>
  <si>
    <t>CONT011</t>
  </si>
  <si>
    <t>ING Chemicals Outlook 2026</t>
  </si>
  <si>
    <t>2026-01-28</t>
  </si>
  <si>
    <t>Structurally high European energy prices, weak demand and overcapacity.</t>
  </si>
  <si>
    <t>Generated_Date</t>
  </si>
  <si>
    <t>Slides_Count</t>
  </si>
  <si>
    <t>Template_Used</t>
  </si>
  <si>
    <t>Compliance_Classification</t>
  </si>
  <si>
    <t>Reviewed_By</t>
  </si>
  <si>
    <t>Audit_Lineage_Ref</t>
  </si>
  <si>
    <t>Compliance (auto) + Sarah Boyer</t>
  </si>
  <si>
    <t>LINEAGE-PB0001: opp OPPCA101 -&gt; CONT001/002/004/006</t>
  </si>
  <si>
    <t>Compliance (auto) + Daan Visser</t>
  </si>
  <si>
    <t>Pending Review</t>
  </si>
  <si>
    <t>LINEAGE-PB0002: opp OPPCA102 -&gt; CONT001/002/004/006</t>
  </si>
  <si>
    <t>Compliance (auto)</t>
  </si>
  <si>
    <t>Draft</t>
  </si>
  <si>
    <t>LINEAGE-PB0003: opp OPPCA103 -&gt; CONT001/002/004/006</t>
  </si>
  <si>
    <t>2025-07-23</t>
  </si>
  <si>
    <t>LINEAGE-PB0004: opp OPPCA104 -&gt; CONT101/002/003</t>
  </si>
  <si>
    <t>LINEAGE-PB0005: opp OPPCA105 -&gt; CONT001/004/006</t>
  </si>
  <si>
    <t>LINEAGE-PB0006: opp OPPCA106 -&gt; CONT002/103</t>
  </si>
  <si>
    <t>LINEAGE-PB0007: opp OPPCA107 -&gt; CONT102/003</t>
  </si>
  <si>
    <t>LINEAGE-PB0008: opp OPPCA108 -&gt; CONT002/003</t>
  </si>
  <si>
    <t>Maps_To_Original_ID</t>
  </si>
  <si>
    <t>Approach_Overall_Assessment</t>
  </si>
  <si>
    <t>—</t>
  </si>
  <si>
    <t>Best primary debt-maturity POC candidate; strong public structured data + disclosures; aligns with ING Utilities &amp; Sustainable Finance House Views.</t>
  </si>
  <si>
    <t>Strongest FX Digital-Twin candidate; excellent structured/unstructured mix; qualification highly dependent on internal or synthetic data.</t>
  </si>
  <si>
    <t>Strong interest-rate &amp; commodity scenario; public data supports a review trigger, not a proven hedge gap.</t>
  </si>
  <si>
    <t>Very timely House-view-driven composite signal; ideal for demonstrating news + commodity forecast + client-data fusion.</t>
  </si>
  <si>
    <t>Commercially significant but partly addressed; excellent test of whether the system can close/expire an opportunity after subsequent financing.</t>
  </si>
  <si>
    <t>Risk_Class</t>
  </si>
  <si>
    <t>Policy_Target_Ratio_Pct</t>
  </si>
  <si>
    <t>Tolerance_Band_Pct</t>
  </si>
  <si>
    <t>Permitted_Instruments</t>
  </si>
  <si>
    <t>Max_Tenor_Y</t>
  </si>
  <si>
    <t>Approval_Corridor</t>
  </si>
  <si>
    <t>Policy_Version</t>
  </si>
  <si>
    <t>Policy_Owner</t>
  </si>
  <si>
    <t>Last_Reviewed</t>
  </si>
  <si>
    <t>IRS, cross-currency swaps</t>
  </si>
  <si>
    <t>Group Treasury Committee</t>
  </si>
  <si>
    <t>v2.3</t>
  </si>
  <si>
    <t>2026-02-15</t>
  </si>
  <si>
    <t>FX (USD/BRL)</t>
  </si>
  <si>
    <t>FX forwards, cross-currency swaps</t>
  </si>
  <si>
    <t>FX forwards, options, collars, net-investment hedges</t>
  </si>
  <si>
    <t>CFO + Treasury</t>
  </si>
  <si>
    <t>v4.1</t>
  </si>
  <si>
    <t>Corporate Treasury</t>
  </si>
  <si>
    <t>2026-03-20</t>
  </si>
  <si>
    <t>IRS, caps, collars</t>
  </si>
  <si>
    <t>Treasury Committee</t>
  </si>
  <si>
    <t>v3.0</t>
  </si>
  <si>
    <t>Corporate Finance</t>
  </si>
  <si>
    <t>2026-01-30</t>
  </si>
  <si>
    <t>Commodity (energy)</t>
  </si>
  <si>
    <t>Commodity swaps, options</t>
  </si>
  <si>
    <t>Commodity Risk Committee</t>
  </si>
  <si>
    <t>Procurement + Treasury</t>
  </si>
  <si>
    <t>Fuel (2026)</t>
  </si>
  <si>
    <t>Fuel swaps, options, collars (Brent/gasoil)</t>
  </si>
  <si>
    <t>Fuel Risk Committee</t>
  </si>
  <si>
    <t>v5.2</t>
  </si>
  <si>
    <t>Group Risk</t>
  </si>
  <si>
    <t>2026-07-31</t>
  </si>
  <si>
    <t>Fuel (2027 target)</t>
  </si>
  <si>
    <t>Fuel swaps, options, collars (layered)</t>
  </si>
  <si>
    <t>FX (USD)</t>
  </si>
  <si>
    <t>FX forwards, options</t>
  </si>
  <si>
    <t>IRS, caps</t>
  </si>
  <si>
    <t>v2.0</t>
  </si>
  <si>
    <t>Horizon</t>
  </si>
  <si>
    <t>Forecast_Inflow_mm</t>
  </si>
  <si>
    <t>Forecast_Outflow_mm</t>
  </si>
  <si>
    <t>Natural_Offset_mm</t>
  </si>
  <si>
    <t>Net_Exposure_mm</t>
  </si>
  <si>
    <t>Committed_Pct</t>
  </si>
  <si>
    <t>12m</t>
  </si>
  <si>
    <t>Billing partly EUR; USD supplier/cost base gives partial natural offset</t>
  </si>
  <si>
    <t>KRW</t>
  </si>
  <si>
    <t>Korea sales up €4.4bn→€7.1bn; largely unhedged</t>
  </si>
  <si>
    <t>TWD</t>
  </si>
  <si>
    <t>Taiwan sales €4.4bn→€5.1bn</t>
  </si>
  <si>
    <t>CNY</t>
  </si>
  <si>
    <t>China declining; convertibility constraints</t>
  </si>
  <si>
    <t>Functional currency; largely self-offsetting</t>
  </si>
  <si>
    <t>24m</t>
  </si>
  <si>
    <t>Core EUR funding base</t>
  </si>
  <si>
    <t>USD bond servicing; part of liability-mix review</t>
  </si>
  <si>
    <t>BRL</t>
  </si>
  <si>
    <t>LatAm operations; limited hedge market depth</t>
  </si>
  <si>
    <t>Raw-material purchases USD-linked; partial natural hedge</t>
  </si>
  <si>
    <t>Fuel &amp; aircraft USD-denominated; structural short USD</t>
  </si>
  <si>
    <t>US pharma revenue vs US cost base; residual net long USD</t>
  </si>
  <si>
    <t>Instrument_Type</t>
  </si>
  <si>
    <t>Rate_Or_Strike</t>
  </si>
  <si>
    <t>Fixed_Floating</t>
  </si>
  <si>
    <t>Hedge_Accounting_Designation</t>
  </si>
  <si>
    <t>Counterparty</t>
  </si>
  <si>
    <t>EUR senior notes 2026</t>
  </si>
  <si>
    <t>1.20%</t>
  </si>
  <si>
    <t>Fixed</t>
  </si>
  <si>
    <t>Bondholders</t>
  </si>
  <si>
    <t>USD senior notes 2027</t>
  </si>
  <si>
    <t>3.50%</t>
  </si>
  <si>
    <t>EUR green bond 2026</t>
  </si>
  <si>
    <t>0.88%</t>
  </si>
  <si>
    <t>2019-09-01</t>
  </si>
  <si>
    <t>2026-12-01</t>
  </si>
  <si>
    <t>Swap</t>
  </si>
  <si>
    <t>2.10%</t>
  </si>
  <si>
    <t>Fixed→Float</t>
  </si>
  <si>
    <t>Cash-flow hedge</t>
  </si>
  <si>
    <t>Syndicate</t>
  </si>
  <si>
    <t>Derivative</t>
  </si>
  <si>
    <t>ING + 2 others</t>
  </si>
  <si>
    <t>1.12 call</t>
  </si>
  <si>
    <t>Economic (not designated)</t>
  </si>
  <si>
    <t>GS</t>
  </si>
  <si>
    <t>€STR+95bp</t>
  </si>
  <si>
    <t>Floating</t>
  </si>
  <si>
    <t>2.35%</t>
  </si>
  <si>
    <t>Float→Fixed</t>
  </si>
  <si>
    <t>Cash-flow hedge (designated)</t>
  </si>
  <si>
    <t>DB, ING</t>
  </si>
  <si>
    <t>TTF 32.0</t>
  </si>
  <si>
    <t>Economic</t>
  </si>
  <si>
    <t>ICE cleared</t>
  </si>
  <si>
    <t>78.0</t>
  </si>
  <si>
    <t>Gasoil crack hedge 2026</t>
  </si>
  <si>
    <t>19.0</t>
  </si>
  <si>
    <t>CME cleared</t>
  </si>
  <si>
    <t>74.0</t>
  </si>
  <si>
    <t>Live (building)</t>
  </si>
  <si>
    <t>USD fixed notes (5–30y)</t>
  </si>
  <si>
    <t>5.10%</t>
  </si>
  <si>
    <t>New</t>
  </si>
  <si>
    <t>Bank RCF (resized $8bn→$3bn)</t>
  </si>
  <si>
    <t>SOFR+120bp</t>
  </si>
  <si>
    <t>4.20%</t>
  </si>
  <si>
    <t>JPM</t>
  </si>
  <si>
    <t>Service_ID</t>
  </si>
  <si>
    <t>Product_Service</t>
  </si>
  <si>
    <t>Eligible_Client_Types</t>
  </si>
  <si>
    <t>MiFID_Suitability</t>
  </si>
  <si>
    <t>Jurisdictional_Restrictions</t>
  </si>
  <si>
    <t>ING_Desk</t>
  </si>
  <si>
    <t>SVC01</t>
  </si>
  <si>
    <t>FX forward</t>
  </si>
  <si>
    <t>Corporate, FI</t>
  </si>
  <si>
    <t>Appropriate (non-complex)</t>
  </si>
  <si>
    <t>None (EEA)</t>
  </si>
  <si>
    <t>FM FX Sales</t>
  </si>
  <si>
    <t>Core hedging instrument</t>
  </si>
  <si>
    <t>SVC02</t>
  </si>
  <si>
    <t>FX vanilla option</t>
  </si>
  <si>
    <t>Professional</t>
  </si>
  <si>
    <t>Appropriateness test</t>
  </si>
  <si>
    <t>Non-complex to professional</t>
  </si>
  <si>
    <t>SVC03</t>
  </si>
  <si>
    <t>FX collar / structured</t>
  </si>
  <si>
    <t>Suitability where advised</t>
  </si>
  <si>
    <t>Restricted for retail</t>
  </si>
  <si>
    <t>FM FX Structuring</t>
  </si>
  <si>
    <t>Structured — enhanced disclosure</t>
  </si>
  <si>
    <t>SVC04</t>
  </si>
  <si>
    <t>FX/Rates</t>
  </si>
  <si>
    <t>FM Rates</t>
  </si>
  <si>
    <t>Liability-mix management</t>
  </si>
  <si>
    <t>SVC05</t>
  </si>
  <si>
    <t>Interest-rate swap (IRS)</t>
  </si>
  <si>
    <t>Appropriate</t>
  </si>
  <si>
    <t>Fixed/floating management</t>
  </si>
  <si>
    <t>SVC06</t>
  </si>
  <si>
    <t>Cap / floor / collar</t>
  </si>
  <si>
    <t>Rate protection</t>
  </si>
  <si>
    <t>SVC07</t>
  </si>
  <si>
    <t>Commodity swap</t>
  </si>
  <si>
    <t>Position-limit regimes apply</t>
  </si>
  <si>
    <t>FM Commodities</t>
  </si>
  <si>
    <t>Energy/fuel hedging</t>
  </si>
  <si>
    <t>SVC08</t>
  </si>
  <si>
    <t>Commodity option</t>
  </si>
  <si>
    <t>Asymmetric fuel hedging</t>
  </si>
  <si>
    <t>SVC09</t>
  </si>
  <si>
    <t>DCM bond issuance</t>
  </si>
  <si>
    <t>Corporate</t>
  </si>
  <si>
    <t>N/A (primary)</t>
  </si>
  <si>
    <t>Prospectus regime</t>
  </si>
  <si>
    <t>DCM / CMA</t>
  </si>
  <si>
    <t>Requires CMA wall check</t>
  </si>
  <si>
    <t>SVC10</t>
  </si>
  <si>
    <t>DCM/Loans</t>
  </si>
  <si>
    <t>ICMA/LMA frameworks</t>
  </si>
  <si>
    <t>Sustainable Finance</t>
  </si>
  <si>
    <t>Use-of-proceeds eligibility</t>
  </si>
  <si>
    <t>SVC11</t>
  </si>
  <si>
    <t>Lending</t>
  </si>
  <si>
    <t>N/A</t>
  </si>
  <si>
    <t>None</t>
  </si>
  <si>
    <t>Liquidity backstop</t>
  </si>
  <si>
    <t>SVC12</t>
  </si>
  <si>
    <t>Cash</t>
  </si>
  <si>
    <t>Cash &amp; Liquidity</t>
  </si>
  <si>
    <t>Yield on surplus cash</t>
  </si>
  <si>
    <t>SVC13</t>
  </si>
  <si>
    <t>Cash pooling</t>
  </si>
  <si>
    <t>Local account rules</t>
  </si>
  <si>
    <t>PCM</t>
  </si>
  <si>
    <t>Liquidity optimisation</t>
  </si>
  <si>
    <t>Current_Mandates</t>
  </si>
  <si>
    <t>Competing_Banks</t>
  </si>
  <si>
    <t>ING_Wallet_Share_Pct</t>
  </si>
  <si>
    <t>Wallet_Trend</t>
  </si>
  <si>
    <t>Permitted_Client_Use</t>
  </si>
  <si>
    <t>Consent_Status</t>
  </si>
  <si>
    <t>No live FM mandate; DCM RFP anticipated Q4-26</t>
  </si>
  <si>
    <t>BNP Paribas, JPM, SG, UniCredit</t>
  </si>
  <si>
    <t>Flat</t>
  </si>
  <si>
    <t>Internal decision-support only until MNPI cleared</t>
  </si>
  <si>
    <t>2026-07-20</t>
  </si>
  <si>
    <t>FX hedging programme (proposal stage)</t>
  </si>
  <si>
    <t>Deutsche Bank, Goldman Sachs</t>
  </si>
  <si>
    <t>Rising</t>
  </si>
  <si>
    <t>Internal; client engagement approved</t>
  </si>
  <si>
    <t>Approved (internal)</t>
  </si>
  <si>
    <t>2026-07-18</t>
  </si>
  <si>
    <t>Rates review (exploratory)</t>
  </si>
  <si>
    <t>Commerzbank, DB, BNP</t>
  </si>
  <si>
    <t>Internal decision-support only</t>
  </si>
  <si>
    <t>Fuel hedge advisory (2027)</t>
  </si>
  <si>
    <t>SG, Macquarie, Citi</t>
  </si>
  <si>
    <t>Internal; outreach pending compliance</t>
  </si>
  <si>
    <t>Facility participation (existing)</t>
  </si>
  <si>
    <t>JPM, BofA, DB (bond syndicate)</t>
  </si>
  <si>
    <t>Declining</t>
  </si>
  <si>
    <t>Restricted — verify CMA wall before enrichment</t>
  </si>
  <si>
    <t>Restricted</t>
  </si>
  <si>
    <t>2026-07-25</t>
  </si>
  <si>
    <t>Status_Reason</t>
  </si>
  <si>
    <t>Last_Event_Date</t>
  </si>
  <si>
    <t>OPP5-ENEL-01</t>
  </si>
  <si>
    <t>Refinancing / sustainable liability management</t>
  </si>
  <si>
    <t>Under Review</t>
  </si>
  <si>
    <t>Evidence-supported hypothesis; awaiting current maturity schedule post-repayment and live funding plan</t>
  </si>
  <si>
    <t>Coverage — Southern Europe</t>
  </si>
  <si>
    <t>OPP5-ASML-01</t>
  </si>
  <si>
    <t>FX hedge recalibration</t>
  </si>
  <si>
    <t>Proxy signal (geographic mix); needs cashflow-by-currency + policy target to confirm gap</t>
  </si>
  <si>
    <t>Coverage — Benelux</t>
  </si>
  <si>
    <t>OPP5-BASF-01</t>
  </si>
  <si>
    <t>Review trigger fired; not a proven gap — IR derivatives are hedge-accounting designated</t>
  </si>
  <si>
    <t>Coverage — Germany</t>
  </si>
  <si>
    <t>OPP5-LHA-01</t>
  </si>
  <si>
    <t>2027 fuel + FX hedge programme</t>
  </si>
  <si>
    <t>2027 fuel hedge ~50% vs policy; layered build resumed Q2-26 — recalibration window open</t>
  </si>
  <si>
    <t>OPP5-BAYN-01</t>
  </si>
  <si>
    <t>Residual liability management / capital structure</t>
  </si>
  <si>
    <t>Addressed (candidate)</t>
  </si>
  <si>
    <t>July $5bn bond + facility resize may have addressed the need; verify residual before pursuing</t>
  </si>
  <si>
    <t>(hold) verify residual</t>
  </si>
  <si>
    <t>Event_ID</t>
  </si>
  <si>
    <t>Event_Date</t>
  </si>
  <si>
    <t>Event_Type</t>
  </si>
  <si>
    <t>Description</t>
  </si>
  <si>
    <t>Impact_On_Opportunity</t>
  </si>
  <si>
    <t>EVT001</t>
  </si>
  <si>
    <t>Bond issuance</t>
  </si>
  <si>
    <t>Placed $5bn fixed-rate bonds across 5–30y maturities</t>
  </si>
  <si>
    <t>May address refinancing need — candidate to CLOSE/downgrade the signal</t>
  </si>
  <si>
    <t>EVT002</t>
  </si>
  <si>
    <t>2026-07-12</t>
  </si>
  <si>
    <t>Facility resize</t>
  </si>
  <si>
    <t>Reduced $8bn bank facility to $3bn</t>
  </si>
  <si>
    <t>Reduces residual facility requirement</t>
  </si>
  <si>
    <t>EVT003</t>
  </si>
  <si>
    <t>2026-07-14</t>
  </si>
  <si>
    <t>Capital contribution</t>
  </si>
  <si>
    <t>€3bn from Apollo for minority in LARC (subject to conditions)</t>
  </si>
  <si>
    <t>Potential liquidity; conditional — do not assume closed</t>
  </si>
  <si>
    <t>EVT004</t>
  </si>
  <si>
    <t>2026-03-15</t>
  </si>
  <si>
    <t>Board authorization</t>
  </si>
  <si>
    <t>Board approved up to €12bn bonds/bank financing by Mar-2027</t>
  </si>
  <si>
    <t>Confirms funding programme — SUPPORTS refi dialogue</t>
  </si>
  <si>
    <t>EVT005</t>
  </si>
  <si>
    <t>2026-06-30</t>
  </si>
  <si>
    <t>Hedging activity</t>
  </si>
  <si>
    <t>Resumed layered fuel hedging in Q2-26; 2027 ratio just over 50%</t>
  </si>
  <si>
    <t>Opens 2027 recalibration window — KEEP opportunity open</t>
  </si>
  <si>
    <t>EVT006</t>
  </si>
  <si>
    <t>Guidance update</t>
  </si>
  <si>
    <t>Raised 2026 revenue outlook to €43–45bn; NA mix rising</t>
  </si>
  <si>
    <t>Reinforces FX exposure-shift signal</t>
  </si>
  <si>
    <t>Curve_Date</t>
  </si>
  <si>
    <t>Tenor</t>
  </si>
  <si>
    <t>Swap_Rate_Pct</t>
  </si>
  <si>
    <t>Govt_Yield_Pct</t>
  </si>
  <si>
    <t>1Y</t>
  </si>
  <si>
    <t>Rates curve</t>
  </si>
  <si>
    <t>2Y</t>
  </si>
  <si>
    <t>3Y</t>
  </si>
  <si>
    <t>5Y</t>
  </si>
  <si>
    <t>7Y</t>
  </si>
  <si>
    <t>10Y</t>
  </si>
  <si>
    <t>Quote_Date</t>
  </si>
  <si>
    <t>Pair</t>
  </si>
  <si>
    <t>Spot</t>
  </si>
  <si>
    <t>Fwd_Points</t>
  </si>
  <si>
    <t>Fwd_Rate</t>
  </si>
  <si>
    <t>Implied_Vol_Pct</t>
  </si>
  <si>
    <t>1M</t>
  </si>
  <si>
    <t>3M</t>
  </si>
  <si>
    <t>6M</t>
  </si>
  <si>
    <t>EUR/BRL</t>
  </si>
  <si>
    <t>Crack_Spread</t>
  </si>
  <si>
    <t>Brent</t>
  </si>
  <si>
    <t>Q3-2026</t>
  </si>
  <si>
    <t>Q4-2026</t>
  </si>
  <si>
    <t>2027 avg</t>
  </si>
  <si>
    <t>Gasoil</t>
  </si>
  <si>
    <t>USD/t</t>
  </si>
  <si>
    <t>Jet fuel</t>
  </si>
  <si>
    <t>TTF gas</t>
  </si>
  <si>
    <t>Issuer_Or_Rating</t>
  </si>
  <si>
    <t>All_In_Yield_Pct</t>
  </si>
  <si>
    <t>Enel (BBB+)</t>
  </si>
  <si>
    <t>Licensed (illustrative)</t>
  </si>
  <si>
    <t>BASF (A)</t>
  </si>
  <si>
    <t>Bayer (BBB)</t>
  </si>
  <si>
    <t>Lufthansa (BBB-)</t>
  </si>
  <si>
    <t>A rating curve</t>
  </si>
  <si>
    <t>Benchmark</t>
  </si>
  <si>
    <t>BBB rating curve</t>
  </si>
  <si>
    <t>HouseView_ID</t>
  </si>
  <si>
    <t>Theme</t>
  </si>
  <si>
    <t>ING_View</t>
  </si>
  <si>
    <t>Opportunity_Implication</t>
  </si>
  <si>
    <t>Publication_Date</t>
  </si>
  <si>
    <t>Permitted_Use</t>
  </si>
  <si>
    <t>Jurisdiction</t>
  </si>
  <si>
    <t>Approved_Version</t>
  </si>
  <si>
    <t>Source_Proxy</t>
  </si>
  <si>
    <t>HV01</t>
  </si>
  <si>
    <t>Corporate funding</t>
  </si>
  <si>
    <t>Cross-sector</t>
  </si>
  <si>
    <t>Record 2026 EUR corporate issuance ~€485bn with ~€304bn redemptions; more ALM, tenders and exchanges</t>
  </si>
  <si>
    <t>Look for maturities, refinancing, pre-funding, buybacks, maturity-profile optimisation</t>
  </si>
  <si>
    <t>Internal — confirm approved version before client use</t>
  </si>
  <si>
    <t>EEA</t>
  </si>
  <si>
    <t>PENDING</t>
  </si>
  <si>
    <t>ING Credit Research (public proxy)</t>
  </si>
  <si>
    <t>HV02</t>
  </si>
  <si>
    <t>European utilities to invest ~€173bn in 2026; funding pressure where capex exceeds internal cash flow</t>
  </si>
  <si>
    <t>Refinancing, green financing, hybrid capital, rate/currency risk management</t>
  </si>
  <si>
    <t>Internal — confirm approved version</t>
  </si>
  <si>
    <t>ING Utilities Outlook (public proxy)</t>
  </si>
  <si>
    <t>HV03</t>
  </si>
  <si>
    <t>Sustainable issuance to grow in 2026, led by green bonds/loans; refinancing supports issuance</t>
  </si>
  <si>
    <t>Test whether refinancing can be green / transition / sustainability-linked</t>
  </si>
  <si>
    <t>2026-01-22</t>
  </si>
  <si>
    <t>ING Sustainable Debt Outlook (public proxy)</t>
  </si>
  <si>
    <t>HV04</t>
  </si>
  <si>
    <t>Limited USD upside; EUR/USD ~1.17 at 3m; USD hedging costs may decline further</t>
  </si>
  <si>
    <t>Review whether hedge ratios, tenors or instruments still fit revised exposure</t>
  </si>
  <si>
    <t>2026-02-01</t>
  </si>
  <si>
    <t>ING FX View (public proxy)</t>
  </si>
  <si>
    <t>HV05</t>
  </si>
  <si>
    <t>Oil &amp; energy</t>
  </si>
  <si>
    <t>Energy-intensive</t>
  </si>
  <si>
    <t>Brent averaging ~$80/bbl Q3-26 and ~$74/bbl Q4-26; continuing geopolitical disruption risk</t>
  </si>
  <si>
    <t>Relevant to airlines, chemicals, shipping and other energy-intensive clients</t>
  </si>
  <si>
    <t>ING Oil View (public proxy)</t>
  </si>
  <si>
    <t>HV06</t>
  </si>
  <si>
    <t>Technology &amp; semiconductors</t>
  </si>
  <si>
    <t>Technology</t>
  </si>
  <si>
    <t>Positive on semiconductor fundamentals; major tech capex &gt;$700bn in 2026</t>
  </si>
  <si>
    <t>Business growth &amp; geographic mix may materially alter FX exposure and hedge needs</t>
  </si>
  <si>
    <t>2026-02-08</t>
  </si>
  <si>
    <t>ING Technology &amp; FX View (public proxy)</t>
  </si>
  <si>
    <t>Record_Ref</t>
  </si>
  <si>
    <t>Dataset</t>
  </si>
  <si>
    <t>Origin</t>
  </si>
  <si>
    <t>Source_Type</t>
  </si>
  <si>
    <t>PRV01</t>
  </si>
  <si>
    <t>Company IR / ESEF-XBRL</t>
  </si>
  <si>
    <t>Structured public</t>
  </si>
  <si>
    <t>As filed</t>
  </si>
  <si>
    <t>Public — freely usable</t>
  </si>
  <si>
    <t>Issuer domicile</t>
  </si>
  <si>
    <t>Point-in-time; may be stale vs subsequent events</t>
  </si>
  <si>
    <t>PRV02</t>
  </si>
  <si>
    <t>ING Think (public proxy)</t>
  </si>
  <si>
    <t>Unstructured (research)</t>
  </si>
  <si>
    <t>2026-01/02</t>
  </si>
  <si>
    <t>Internal only — approved version required before client use</t>
  </si>
  <si>
    <t>Proxy for approved House Views; confirm version/date/permitted use</t>
  </si>
  <si>
    <t>PRV03</t>
  </si>
  <si>
    <t>Bloomberg / LSEG</t>
  </si>
  <si>
    <t>Structured licensed</t>
  </si>
  <si>
    <t>Licensed — redistribution restricted in client docs</t>
  </si>
  <si>
    <t>Global</t>
  </si>
  <si>
    <t>Redistribution licence gates client-facing pitchbook use</t>
  </si>
  <si>
    <t>PRV04</t>
  </si>
  <si>
    <t>ICE / CME / LSEG</t>
  </si>
  <si>
    <t>Licensed — redistribution restricted</t>
  </si>
  <si>
    <t>Position-limit / exchange redistribution terms apply</t>
  </si>
  <si>
    <t>PRV05</t>
  </si>
  <si>
    <t>ING internal (or synthetic)</t>
  </si>
  <si>
    <t>Internal</t>
  </si>
  <si>
    <t>Client-provided</t>
  </si>
  <si>
    <t>Entitlement-gated; MNPI-sensitive</t>
  </si>
  <si>
    <t>Must be sourced from client/treasury or synthetically modelled</t>
  </si>
  <si>
    <t>PRV06</t>
  </si>
  <si>
    <t>ING trade/booking systems</t>
  </si>
  <si>
    <t>Entitlement-gated</t>
  </si>
  <si>
    <t>Fragmented across booking systems</t>
  </si>
  <si>
    <t>PRV07</t>
  </si>
  <si>
    <t>Licensed newswire</t>
  </si>
  <si>
    <t>Unstructured licensed</t>
  </si>
  <si>
    <t>Licensed — attribution required</t>
  </si>
  <si>
    <t>Sentiment/relevance are model-derived</t>
  </si>
  <si>
    <t>PRV08</t>
  </si>
  <si>
    <t>Dealogic / GLEIF</t>
  </si>
  <si>
    <t>Licensed</t>
  </si>
  <si>
    <t>LEI resolution via GLEIF (public)</t>
  </si>
  <si>
    <t>PRV09</t>
  </si>
  <si>
    <t>Enterprise CRM</t>
  </si>
  <si>
    <t>Entitlement-gated; PII</t>
  </si>
  <si>
    <t>Call-note summaries are unstructured</t>
  </si>
  <si>
    <t>PRV10</t>
  </si>
  <si>
    <t>ECB / LSEG</t>
  </si>
  <si>
    <t>Structured (mixed)</t>
  </si>
  <si>
    <t>ECB free; LSEG licensed</t>
  </si>
  <si>
    <t>EEA/Global</t>
  </si>
  <si>
    <t>Blend of free and licensed</t>
  </si>
  <si>
    <t>Is_ING_Client</t>
  </si>
  <si>
    <t>Information_Barrier_Status</t>
  </si>
  <si>
    <t>Wall_Side</t>
  </si>
  <si>
    <t>MNPI_Flag</t>
  </si>
  <si>
    <t>Entitled_Desks</t>
  </si>
  <si>
    <t>Retrieval_Scope</t>
  </si>
  <si>
    <t>Clear (no active advisory wall)</t>
  </si>
  <si>
    <t>Public side</t>
  </si>
  <si>
    <t>FM Sales, Rates, DCM, Coverage</t>
  </si>
  <si>
    <t>FM-permitted fields only</t>
  </si>
  <si>
    <t>DCM RFP may raise a wall later</t>
  </si>
  <si>
    <t>FM FX, Coverage</t>
  </si>
  <si>
    <t>FX programme is public-side</t>
  </si>
  <si>
    <t>FM Rates, Commodities, Coverage</t>
  </si>
  <si>
    <t>FM Commodities, FX, Coverage</t>
  </si>
  <si>
    <t>Fuel advisory is public-side</t>
  </si>
  <si>
    <t>ACTIVE WALL (advisory mandate)</t>
  </si>
  <si>
    <t>Possible MNPI</t>
  </si>
  <si>
    <t>Restricted — Coverage lead only</t>
  </si>
  <si>
    <t>Blocked pending CMA wall check</t>
  </si>
  <si>
    <t>Do NOT enrich from advisory side; verify before use</t>
  </si>
  <si>
    <t>Signal_Name</t>
  </si>
  <si>
    <t>KPI(s)</t>
  </si>
  <si>
    <t>Operator_Threshold</t>
  </si>
  <si>
    <t>Sector_Scope</t>
  </si>
  <si>
    <t>Tier_Scope</t>
  </si>
  <si>
    <t>Severity_Model</t>
  </si>
  <si>
    <t>Effective_Date</t>
  </si>
  <si>
    <t>Version</t>
  </si>
  <si>
    <t>Rationale</t>
  </si>
  <si>
    <t>SIG-DM1</t>
  </si>
  <si>
    <t>Debt maturity</t>
  </si>
  <si>
    <t>Debt maturing &lt;24m as % total debt</t>
  </si>
  <si>
    <t>&gt; 15%</t>
  </si>
  <si>
    <t>Tier 1–2</t>
  </si>
  <si>
    <t>Attention/Alert/Action</t>
  </si>
  <si>
    <t>FM Analytics</t>
  </si>
  <si>
    <t>2026-07-01</t>
  </si>
  <si>
    <t>v1.0</t>
  </si>
  <si>
    <t>Refi/pre-funding window</t>
  </si>
  <si>
    <t>SIG-DM2</t>
  </si>
  <si>
    <t>Refinancing cost increase</t>
  </si>
  <si>
    <t>Refi cost vs original coupon (bps)</t>
  </si>
  <si>
    <t>&gt; 150 bps</t>
  </si>
  <si>
    <t>Alert/Action</t>
  </si>
  <si>
    <t>Cost pressure on refi; sector-calibrate for utilities</t>
  </si>
  <si>
    <t>SIG-DM3</t>
  </si>
  <si>
    <t>Fixed/floating ratio</t>
  </si>
  <si>
    <t>&lt; 60%</t>
  </si>
  <si>
    <t>Attention/Alert</t>
  </si>
  <si>
    <t>Rate-sensitivity threshold</t>
  </si>
  <si>
    <t>SIG-FX1</t>
  </si>
  <si>
    <t>FX hedge ratio vs policy</t>
  </si>
  <si>
    <t>Hedge ratio vs client policy target</t>
  </si>
  <si>
    <t>&lt; policy target − band</t>
  </si>
  <si>
    <t>FM FX</t>
  </si>
  <si>
    <t>v1.1</t>
  </si>
  <si>
    <t>Uses client policy, not global default</t>
  </si>
  <si>
    <t>SIG-FX2</t>
  </si>
  <si>
    <t>Unhedged FX exposure</t>
  </si>
  <si>
    <t>Net unhedged exposure (USD mm)</t>
  </si>
  <si>
    <t>&gt; 2000</t>
  </si>
  <si>
    <t>Absolute materiality gate</t>
  </si>
  <si>
    <t>SIG-IR1</t>
  </si>
  <si>
    <t>Floating debt ratio</t>
  </si>
  <si>
    <t>Floating share of debt</t>
  </si>
  <si>
    <t>&gt; 40%</t>
  </si>
  <si>
    <t>Rising sensitivity</t>
  </si>
  <si>
    <t>SIG-IR2</t>
  </si>
  <si>
    <t>Swap maturity concentration</t>
  </si>
  <si>
    <t>Swap notional expiring &lt;12m as % debt</t>
  </si>
  <si>
    <t>&gt; 20%</t>
  </si>
  <si>
    <t>Roll-off risk</t>
  </si>
  <si>
    <t>SIG-CM1</t>
  </si>
  <si>
    <t>Fuel/commodity hedge gap</t>
  </si>
  <si>
    <t>Forward-period hedge ratio vs policy</t>
  </si>
  <si>
    <t>&lt; policy target</t>
  </si>
  <si>
    <t>Airlines, Chemicals, Shipping</t>
  </si>
  <si>
    <t>2027 forward periods, layered build</t>
  </si>
  <si>
    <t>SIG-CA1</t>
  </si>
  <si>
    <t>Cash accumulation</t>
  </si>
  <si>
    <t>Cash balance growth YoY</t>
  </si>
  <si>
    <t>Attention</t>
  </si>
  <si>
    <t>FM Cash</t>
  </si>
  <si>
    <t>Deposit/liquidity opportunity</t>
  </si>
  <si>
    <t>SIG-PB1</t>
  </si>
  <si>
    <t>Peer whitespace</t>
  </si>
  <si>
    <t>Wallet penetration vs peer avg</t>
  </si>
  <si>
    <t>&lt; peer avg by 20%</t>
  </si>
  <si>
    <t>Cross-sell whitespace</t>
  </si>
  <si>
    <t>Peer_Set_ID</t>
  </si>
  <si>
    <t>Peer_Members</t>
  </si>
  <si>
    <t>Benchmark_Metrics</t>
  </si>
  <si>
    <t>PS-UTIL</t>
  </si>
  <si>
    <t>Iberdrola, Engie, RWE, EDP, Endesa, SSE, Vattenfall</t>
  </si>
  <si>
    <t>IRS usage, SLL financing, structured commodity hedging, cross-ccy hedging, wallet penetration</t>
  </si>
  <si>
    <t>PS-SEMI</t>
  </si>
  <si>
    <t>Applied Materials, Lam Research, KLA, Tokyo Electron</t>
  </si>
  <si>
    <t>FX hedge ratio, options usage, cross-ccy hedging, wallet penetration</t>
  </si>
  <si>
    <t>PS-CHEM</t>
  </si>
  <si>
    <t>Dow, LyondellBasell, Covestro, Solvay, Air Liquide</t>
  </si>
  <si>
    <t>IRS usage, commodity hedging, working-capital financing, wallet penetration</t>
  </si>
  <si>
    <t>PS-AIR</t>
  </si>
  <si>
    <t>IAG, Air France-KLM, Ryanair, easyJet</t>
  </si>
  <si>
    <t>Fuel hedge ratio, FX hedging, forward-period coverage, wallet penetration</t>
  </si>
  <si>
    <t>PS-PHAR</t>
  </si>
  <si>
    <t>Novartis, Roche, Sanofi, Merck KGaA, GSK</t>
  </si>
  <si>
    <t>IRS usage, cross-ccy hedging, capital-structure solutions, wallet penetration</t>
  </si>
  <si>
    <t>Attribute</t>
  </si>
  <si>
    <t>Identification</t>
  </si>
  <si>
    <t>Opportunity ID</t>
  </si>
  <si>
    <t>Client</t>
  </si>
  <si>
    <t>Sector · Geography · ID</t>
  </si>
  <si>
    <t>Electric Utilities · Italy · CLI101</t>
  </si>
  <si>
    <t>Semiconductors · Netherlands · CLI102</t>
  </si>
  <si>
    <t>Chemicals · Germany · CLI103</t>
  </si>
  <si>
    <t>Airlines · Germany · CLI104</t>
  </si>
  <si>
    <t>Pharma / Life Sciences · Germany · CLI105</t>
  </si>
  <si>
    <t>Signal → Opportunity</t>
  </si>
  <si>
    <t>House View (why now)</t>
  </si>
  <si>
    <t>Utilities to invest ~€173bn in 2026 with funding pressure where capex exceeds cash flow; record 2026 EUR issuance ~€485bn expected (HV02, HV01).</t>
  </si>
  <si>
    <t>Limited USD upside; EUR/USD ~1.17 at 3m; USD hedging costs may fall — revisit hedge ratios, tenors, instruments (HV04, HV06).</t>
  </si>
  <si>
    <t>Structurally high European energy prices, weak demand, chemicals overcapacity; higher-for-longer rates (HV05).</t>
  </si>
  <si>
    <t>Brent ~$80/bbl Q3-26, ~$74/bbl Q4-26 with continuing geopolitical disruption risk — material to energy-intensive airlines (HV05).</t>
  </si>
  <si>
    <t>Record 2026 issuance and heavy ALM activity; higher-for-longer rates raise refinancing cost (HV01).</t>
  </si>
  <si>
    <t>Company signal (evidence)</t>
  </si>
  <si>
    <t>€10.127bn of bonds mature Jan-26–Jun-27; board authorised up to €12bn financing by Mar-27; net debt ~€61bn, liquidity €22.7bn, WAL &gt;6.5y (a planned programme, not distress).</t>
  </si>
  <si>
    <t>2026 revenue outlook €43–45bn; H1-26 sales ~€18.1bn; Korea €4.4→€7.1bn, Taiwan €4.4→€5.1bn, China down; uses FX forwards; per-currency exposures not disclosed.</t>
  </si>
  <si>
    <t>Variable-rate exposure €3.377bn→€5.497bn (YE-25); +100bp ≈ −€34m pretax; IR derivatives designated in hedge accounting; Q2-26 inventory cash tie-up +€654m.</t>
  </si>
  <si>
    <t>+€1.5bn FY-26 fuel cost YoY; FY-26 ~81% hedged (gasoil+Brent); 2027 ~50%+ after resuming layered hedging in Q2-26.</t>
  </si>
  <si>
    <t>H1-26 FCF −€2.691bn; net debt €33.64bn; July placed $5bn fixed bonds (5–30y); $8bn facility cut to $3bn; €3bn Apollo contribution (conditional).</t>
  </si>
  <si>
    <t>Business question</t>
  </si>
  <si>
    <t>Does Enel still have a material non-refinanced debt or investment-funding need for which ING could provide refinancing, liability management, sustainable funding or rate/currency hedging?</t>
  </si>
  <si>
    <t>Has ASML's forecast currency exposure changed materially while hedge notional, currency mix or tenor stayed unchanged — creating a need to recalibrate the FX programme?</t>
  </si>
  <si>
    <t>Have BASF's floating-rate, commodity or liquidity exposures increased beyond current hedge coverage or policy limits, needing rate/commodity hedging or working-capital financing?</t>
  </si>
  <si>
    <t>Is Lufthansa's forward fuel and currency exposure — particularly 2027+ — adequately hedged against forecast consumption, currency needs and approved policy targets?</t>
  </si>
  <si>
    <t>After recent financing actions and expected capital proceeds, does a residual financing/liability-management need remain, or should the earlier signal be classified as already addressed?</t>
  </si>
  <si>
    <t>Opportunity type</t>
  </si>
  <si>
    <t>Refinancing / sustainable liability management (EUR/USD/BRL mix; green/hybrid; fixed-floating swaps)</t>
  </si>
  <si>
    <t>FX hedge recalibration (forwards, options, collars, cash-flow / net-investment hedging)</t>
  </si>
  <si>
    <t>Rates + commodity hedge review (swaps, caps, collars; energy hedging; working-capital financing)</t>
  </si>
  <si>
    <t>2027 fuel + FX hedge programme (fuel swaps/options/collars; Brent-gasoil-jet basis; EUR/USD)</t>
  </si>
  <si>
    <t>Residual liability management / capital-structure (term-out remaining facility; IR/FX around new funding)</t>
  </si>
  <si>
    <t>Business rationale</t>
  </si>
  <si>
    <t>Large near-term maturity wall plus an authorised programme and a large capex plan create a strong, well-evidenced refinancing and sustainable-financing dialogue aligned to two House Views.</t>
  </si>
  <si>
    <t>Rapid growth and a shifting geographic mix plausibly outpace a static hedge programme — but this is a signal, not a proven gap, until internal exposure and policy data confirm it.</t>
  </si>
  <si>
    <t>A near-doubling of variable-rate exposure and commodity/working-capital pressure justify a review trigger; designated hedges mean it must be validated against policy, not assumed unhedged.</t>
  </si>
  <si>
    <t>A concrete, House-view-driven composite (fuel + FX) with a genuine forward gap (2027 ~50% vs policy) — the best demonstration of fusing news, commodity forecasts and client data.</t>
  </si>
  <si>
    <t>Commercially significant, but July's bond and facility actions may already have addressed it — the key test of closing/expiring an opportunity after subsequent financing.</t>
  </si>
  <si>
    <t>Data to validate</t>
  </si>
  <si>
    <t>Required internal data point</t>
  </si>
  <si>
    <t>Current maturity schedule AFTER 2026 repayments; live funding plan &amp; DCM/loan mandates; ING lending/syndicate/derivative positions; debt currency &amp; fixed/floating mix; existing swaps; SLL framework eligibility; wallet share &amp; competing banks.</t>
  </si>
  <si>
    <t>Forecast &amp; committed cash-flows by currency; contractual billing currencies; natural offsets; hedge-policy target ratios &amp; tolerance bands; existing derivative notional/strikes/maturities; counterparty allocation &amp; ING wallet; whether treasury already recalibrated.</t>
  </si>
  <si>
    <t>Fixed/floating debt by currency &amp; entity; existing swap notional/maturities/designation; hedge-policy limits &amp; coverage; forecast energy/raw-material purchases; commodity hedge contracts; collateral/margin; working-capital facilities &amp; utilisation.</t>
  </si>
  <si>
    <t>2027 forecast fuel volume &amp; monthly profile; CURRENT 2027 hedge ratio (not 2026); instrument mix/strikes/average price/maturities; jet-crack &amp; refined-product basis; EUR/USD coverage; policy corridors; counterparty capacity &amp; ING share.</t>
  </si>
  <si>
    <t>Use of proceeds from July bond; remaining debt maturities &amp; facility drawings; litigation-payment timing/probability; Apollo closing conditions &amp; use; rating-agency thresholds &amp; covenant headroom; whether ING was in the facility/bond syndicate; any open mandate.</t>
  </si>
  <si>
    <t>Data type</t>
  </si>
  <si>
    <t>Structured public (ESEF/XBRL, bond data) + unstructured (management commentary, news) + internal (positions, mandates)</t>
  </si>
  <si>
    <t>Structured + semi-structured (derivative &amp; sensitivity notes) + unstructured (guidance) + internal (cash-flow, policy)</t>
  </si>
  <si>
    <t>Structured + semi-structured (financial-instrument notes, sensitivity tables) + unstructured + internal</t>
  </si>
  <si>
    <t>Structured (hedge tables) + semi-structured (fuel-hedge tables/charts) + unstructured (commentary) + market curves</t>
  </si>
  <si>
    <t>Structured (debt schedules, issuance) + semi-structured (liquidity tables) + unstructured (press) + internal syndicate</t>
  </si>
  <si>
    <t>Candidate source / API</t>
  </si>
  <si>
    <t>Enel IR / ESEF; GLEIF; ECB API; ING House Views; licensed Bloomberg/LSEG/Dealogic; ING internal (CRM/DCM/loan/derivatives)</t>
  </si>
  <si>
    <t>ASML IR; SEC EDGAR; ECB FX; GLEIF; licensed FX forward/vol feeds; ING treasury &amp; derivatives data</t>
  </si>
  <si>
    <t>BASF reports; ECB API; EIA API; ING House Views; licensed ICE/LSEG commodity curves; ING trade &amp; relationship systems</t>
  </si>
  <si>
    <t>Lufthansa IR; EIA API; ECB FX; ING House Views; licensed ICE/CME jet-fuel, gasoil, Brent &amp; option-vol feeds</t>
  </si>
  <si>
    <t>Bayer IR &amp; press; GLEIF; ECB market data; licensed news feeds; ING CRM/DCM/loan system</t>
  </si>
  <si>
    <t>Data access &amp; delivery</t>
  </si>
  <si>
    <t>Public IR/ESEF (free) + licensed market data (API) + ING internal (entitlement-gated connector). Info-barrier: clear (watch for DCM RFP wall).</t>
  </si>
  <si>
    <t>Public + licensed FX feeds + ING internal (entitlement-gated). Info-barrier: clear.</t>
  </si>
  <si>
    <t>Public + licensed commodity/rates feeds + ING internal. Info-barrier: clear.</t>
  </si>
  <si>
    <t>Public + licensed commodity/vol feeds + ING internal. Info-barrier: clear.</t>
  </si>
  <si>
    <t>Public + licensed + ING internal — but ACTIVE advisory wall: restricted retrieval, verify CMA wall before enrichment.</t>
  </si>
  <si>
    <t>Data limitation</t>
  </si>
  <si>
    <t>Public maturity schedule may predate 2026 repayments already completed — current residual must be confirmed internally.</t>
  </si>
  <si>
    <t>Geographic sales ≠ currency exposure; ASML may invoice in EUR/USD with natural offsets. Public data is a SIGNAL, not a proven hedge gap.</t>
  </si>
  <si>
    <t>IR derivatives are designated in hedge-accounting relationships — must NOT be described as 'unhedged'; review vs policy required.</t>
  </si>
  <si>
    <t>2026 largely hedged (~81%); the real gap is 2027 (~50%). Must use the current 2027 ratio, not the headline 2026 figure.</t>
  </si>
  <si>
    <t>July $5bn bond + facility resize may already have addressed the need; risk of surfacing a stale opportunity.</t>
  </si>
  <si>
    <t>POC data readiness</t>
  </si>
  <si>
    <t>PARTIAL — strong public data; internal maturity/mandate validation outstanding</t>
  </si>
  <si>
    <t>PARTIAL — rich public mix; qualification depends on internal/synthetic cash-flow &amp; policy data</t>
  </si>
  <si>
    <t>PARTIAL — public supports a trigger; policy &amp; designation data needed</t>
  </si>
  <si>
    <t>READY (demo) — House-view + commodity + client fusion; needs 2027 hedge detail</t>
  </si>
  <si>
    <t>GAP/HOLD — verify residual against subsequent events before pursuing</t>
  </si>
  <si>
    <t>Qualification  (Qualified = observed change + market movement + unmet need + service fit + actionability)</t>
  </si>
  <si>
    <t>1 · Observed client change</t>
  </si>
  <si>
    <t>Evidenced — maturity wall &amp; capex</t>
  </si>
  <si>
    <t>Evidenced — revenue/geo mix shift</t>
  </si>
  <si>
    <t>Evidenced — variable-rate exposure up</t>
  </si>
  <si>
    <t>Evidenced — fuel cost &amp; 2027 ratio</t>
  </si>
  <si>
    <t>Evidenced — negative FCF, high net debt</t>
  </si>
  <si>
    <t>2 · Market / House-view movement</t>
  </si>
  <si>
    <t>Evidenced — Utilities/funding House Views</t>
  </si>
  <si>
    <t>Evidenced — FX House View</t>
  </si>
  <si>
    <t>Evidenced — energy/rates House View</t>
  </si>
  <si>
    <t>Evidenced — Oil House View</t>
  </si>
  <si>
    <t>Evidenced — funding/rates House View</t>
  </si>
  <si>
    <t>3 · Evidence of unmet need</t>
  </si>
  <si>
    <t>Partial — need current residual schedule</t>
  </si>
  <si>
    <t>GAP — need policy target + cash-flow by ccy</t>
  </si>
  <si>
    <t>GAP — designated hedges; need policy vs coverage</t>
  </si>
  <si>
    <t>Partial — need current 2027 hedge ratio</t>
  </si>
  <si>
    <t>GAP — likely already addressed</t>
  </si>
  <si>
    <t>4 · ING service fit</t>
  </si>
  <si>
    <t>Evidenced — DCM/SLL/rates all in catalogue</t>
  </si>
  <si>
    <t>Evidenced — FX suite in catalogue</t>
  </si>
  <si>
    <t>Evidenced — rates/commodity in catalogue</t>
  </si>
  <si>
    <t>Evidenced — commodity/FX in catalogue</t>
  </si>
  <si>
    <t>Evidenced — DCM/rates in catalogue</t>
  </si>
  <si>
    <t>5 · Client actionability</t>
  </si>
  <si>
    <t>Partial — no live mandate; permitted-use pending</t>
  </si>
  <si>
    <t>Partial — proposal stage; consent internal-only</t>
  </si>
  <si>
    <t>GAP — exploratory; consent pending</t>
  </si>
  <si>
    <t>Partial — outreach pending compliance</t>
  </si>
  <si>
    <t>GAP — active wall; restricted</t>
  </si>
  <si>
    <t>Qualified verdict</t>
  </si>
  <si>
    <t>QUALIFIED HYPOTHESIS — promote once current maturity schedule and a live mandate/permitted-use confirm actionability.</t>
  </si>
  <si>
    <t>SIGNAL — do not raise to Action without hedge-policy target and committed cash-flow-by-currency (proxy → confirmed).</t>
  </si>
  <si>
    <t>SIGNAL / REVIEW TRIGGER — validate against hedge policy and designation before treating as a gap.</t>
  </si>
  <si>
    <t>QUALIFIED HYPOTHESIS (strongest demo) — confirm current 2027 hedge ratio; clear compliance for outreach.</t>
  </si>
  <si>
    <t>LIKELY ADDRESSED — verify residual vs July issuance/facility resize; candidate to CLOSE or EXPIRE.</t>
  </si>
  <si>
    <t>Opportunity status</t>
  </si>
  <si>
    <t>Assessment</t>
  </si>
  <si>
    <t>Overall assessment</t>
  </si>
  <si>
    <t>Best primary debt-maturity POC candidate; strong structured data and disclosures; direct alignment with ING Utilities &amp; Sustainable Finance House Views.</t>
  </si>
  <si>
    <t>Strongest FX Digital-Twin candidate with an excellent structured/unstructured mix; real qualification is highly dependent on internal or synthetic data.</t>
  </si>
  <si>
    <t>Strong interest-rate &amp; commodity scenario; public data supports a review trigger but does not prove an actual hedge gap.</t>
  </si>
  <si>
    <t>Very timely House-view-driven composite signal; particularly useful for demonstrating how news, commodity forecasts and client data combine.</t>
  </si>
  <si>
    <t>Commercially significant but partly addressed; an excellent test of whether the system can update or close an opportunity after subsequent financing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</si>
</sst>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0;\-#,##0;0"/>
  </numFmts>
  <fonts count="17" x14ac:knownFonts="1">
    <font>
      <sz val="11"/>
      <color theme="1"/>
      <name val="Calibri"/>
      <family val="2"/>
      <charset val="1"/>
    </font>
    <font>
      <b/>
      <sz val="16"/>
      <color rgb="FF1F2E5A"/>
      <name val="Arial"/>
      <charset val="1"/>
    </font>
    <font>
      <i/>
      <sz val="11"/>
      <color rgb="FF444444"/>
      <name val="Arial"/>
      <charset val="1"/>
    </font>
    <font>
      <sz val="10"/>
      <color rgb="FF000000"/>
      <name val="Arial"/>
      <charset val="1"/>
    </font>
    <font>
      <sz val="10"/>
      <color rgb="FFB00000"/>
      <name val="Arial"/>
      <charset val="1"/>
    </font>
    <font>
      <b/>
      <sz val="12"/>
      <color rgb="FF1F2E5A"/>
      <name val="Arial"/>
      <charset val="1"/>
    </font>
    <font>
      <b/>
      <sz val="10"/>
      <color rgb="FFFFFFFF"/>
      <name val="Arial"/>
      <charset val="1"/>
    </font>
    <font>
      <b/>
      <sz val="9"/>
      <color rgb="FF1F2E5A"/>
      <name val="Arial"/>
      <charset val="1"/>
    </font>
    <font>
      <sz val="9"/>
      <name val="Arial"/>
      <charset val="1"/>
    </font>
    <font>
      <b/>
      <sz val="13"/>
      <color rgb="FF16166B"/>
      <name val="Arial"/>
      <charset val="1"/>
    </font>
    <font>
      <b/>
      <sz val="11"/>
      <color rgb="FF1C9AD6"/>
      <name val="Arial"/>
      <charset val="1"/>
    </font>
    <font>
      <b/>
      <sz val="9"/>
      <color rgb="FF222222"/>
      <name val="Arial"/>
      <charset val="1"/>
    </font>
    <font>
      <sz val="9"/>
      <color rgb="FF222222"/>
      <name val="Arial"/>
      <charset val="1"/>
    </font>
    <font>
      <b/>
      <sz val="10"/>
      <color rgb="FF16166B"/>
      <name val="Arial"/>
      <charset val="1"/>
    </font>
    <font>
      <sz val="10"/>
      <name val="Arial"/>
      <charset val="1"/>
    </font>
    <font>
      <b/>
      <sz val="9"/>
      <color rgb="FFFFFFFF"/>
      <name val="Arial"/>
      <charset val="1"/>
    </font>
    <font>
      <b/>
      <sz val="9"/>
      <color rgb="FF16166B"/>
      <name val="Arial"/>
      <charset val="1"/>
    </font>
  </fonts>
  <fills count="11">
    <fill>
      <patternFill patternType="none"/>
    </fill>
    <fill>
      <patternFill patternType="gray125"/>
    </fill>
    <fill>
      <patternFill patternType="solid">
        <fgColor rgb="FF1F2E5A"/>
        <bgColor rgb="FF16166B"/>
      </patternFill>
    </fill>
    <fill>
      <patternFill patternType="solid">
        <fgColor rgb="FFF2F5FB"/>
        <bgColor rgb="FFF5F3F0"/>
      </patternFill>
    </fill>
    <fill>
      <patternFill patternType="solid">
        <fgColor rgb="FF16166B"/>
        <bgColor rgb="FF1F2E5A"/>
      </patternFill>
    </fill>
    <fill>
      <patternFill patternType="solid">
        <fgColor rgb="FFF5F3F0"/>
        <bgColor rgb="FFFBF3EA"/>
      </patternFill>
    </fill>
    <fill>
      <patternFill patternType="solid">
        <fgColor rgb="FF1C9AD6"/>
        <bgColor rgb="FF008080"/>
      </patternFill>
    </fill>
    <fill>
      <patternFill patternType="solid">
        <fgColor rgb="FFEAF1FB"/>
        <bgColor rgb="FFF2F5FB"/>
      </patternFill>
    </fill>
    <fill>
      <patternFill patternType="solid">
        <fgColor rgb="FFFBF3EA"/>
        <bgColor rgb="FFF5F3F0"/>
      </patternFill>
    </fill>
    <fill>
      <patternFill patternType="solid">
        <fgColor rgb="FFE7F5EE"/>
        <bgColor rgb="FFEAF1FB"/>
      </patternFill>
    </fill>
    <fill>
      <patternFill patternType="solid">
        <fgColor rgb="FFFBE9E7"/>
        <bgColor rgb="FFFBF3EA"/>
      </patternFill>
    </fill>
  </fills>
  <borders count="4">
    <border>
      <left/>
      <right/>
      <top/>
      <bottom/>
      <diagonal/>
    </border>
    <border>
      <left style="thin">
        <color rgb="FFC7CEDB"/>
      </left>
      <right style="thin">
        <color rgb="FFC7CEDB"/>
      </right>
      <top style="thin">
        <color rgb="FFC7CEDB"/>
      </top>
      <bottom style="thin">
        <color rgb="FFC7CEDB"/>
      </bottom>
      <diagonal/>
    </border>
    <border>
      <left style="thin">
        <color rgb="FFD9D4CE"/>
      </left>
      <right style="thin">
        <color rgb="FFD9D4CE"/>
      </right>
      <top style="thin">
        <color rgb="FFD9D4CE"/>
      </top>
      <bottom style="thin">
        <color rgb="FFD9D4CE"/>
      </bottom>
      <diagonal/>
    </border>
    <border>
      <left style="thin">
        <color rgb="FFD9D4CE"/>
      </left>
      <right/>
      <top style="thin">
        <color rgb="FFD9D4CE"/>
      </top>
      <bottom style="thin">
        <color rgb="FFD9D4CE"/>
      </bottom>
      <diagonal/>
    </border>
  </borders>
  <cellStyleXfs count="1">
    <xf numFmtId="0" fontId="0" fillId="0" borderId="0"/>
  </cellStyleXfs>
  <cellXfs count="5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xf numFmtId="0" fontId="6" fillId="2" borderId="0" xfId="0" applyFont="1" applyFill="1" applyAlignment="1">
      <alignment vertical="top" wrapText="1"/>
    </xf>
    <xf numFmtId="0" fontId="7" fillId="0" borderId="0" xfId="0" applyFont="1"/>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6" fillId="2" borderId="1" xfId="0" applyFont="1" applyFill="1" applyBorder="1" applyAlignment="1">
      <alignment vertical="center" wrapText="1"/>
    </xf>
    <xf numFmtId="0" fontId="14" fillId="3" borderId="1" xfId="0" applyFont="1" applyFill="1" applyBorder="1" applyAlignment="1">
      <alignment vertical="top"/>
    </xf>
    <xf numFmtId="0" fontId="14" fillId="3" borderId="1" xfId="0" applyFont="1" applyFill="1" applyBorder="1" applyAlignment="1">
      <alignment vertical="top" wrapText="1"/>
    </xf>
    <xf numFmtId="0" fontId="14" fillId="0" borderId="1" xfId="0" applyFont="1" applyBorder="1" applyAlignment="1">
      <alignment vertical="top"/>
    </xf>
    <xf numFmtId="0" fontId="14" fillId="0" borderId="1" xfId="0" applyFont="1" applyBorder="1" applyAlignment="1">
      <alignment vertical="top" wrapText="1"/>
    </xf>
    <xf numFmtId="0" fontId="3" fillId="3" borderId="0" xfId="0" applyFont="1" applyFill="1" applyAlignment="1">
      <alignment vertical="top" wrapText="1"/>
    </xf>
    <xf numFmtId="3" fontId="14" fillId="3" borderId="1" xfId="0" applyNumberFormat="1" applyFont="1" applyFill="1" applyBorder="1" applyAlignment="1">
      <alignment vertical="top"/>
    </xf>
    <xf numFmtId="164" fontId="14" fillId="3" borderId="1" xfId="0" applyNumberFormat="1" applyFont="1" applyFill="1" applyBorder="1" applyAlignment="1">
      <alignment vertical="top"/>
    </xf>
    <xf numFmtId="2" fontId="14" fillId="3" borderId="1" xfId="0" applyNumberFormat="1" applyFont="1" applyFill="1" applyBorder="1" applyAlignment="1">
      <alignment vertical="top"/>
    </xf>
    <xf numFmtId="3" fontId="14" fillId="0" borderId="1" xfId="0" applyNumberFormat="1" applyFont="1" applyBorder="1" applyAlignment="1">
      <alignment vertical="top"/>
    </xf>
    <xf numFmtId="164" fontId="14" fillId="0" borderId="1" xfId="0" applyNumberFormat="1" applyFont="1" applyBorder="1" applyAlignment="1">
      <alignment vertical="top"/>
    </xf>
    <xf numFmtId="2" fontId="14" fillId="0" borderId="1" xfId="0" applyNumberFormat="1" applyFont="1" applyBorder="1" applyAlignment="1">
      <alignment vertical="top"/>
    </xf>
    <xf numFmtId="165" fontId="14" fillId="3" borderId="1" xfId="0" applyNumberFormat="1" applyFont="1" applyFill="1" applyBorder="1" applyAlignment="1">
      <alignment vertical="top"/>
    </xf>
    <xf numFmtId="165" fontId="14" fillId="0" borderId="1" xfId="0" applyNumberFormat="1" applyFont="1" applyBorder="1" applyAlignment="1">
      <alignment vertical="top"/>
    </xf>
    <xf numFmtId="1" fontId="14" fillId="3" borderId="1" xfId="0" applyNumberFormat="1" applyFont="1" applyFill="1" applyBorder="1" applyAlignment="1">
      <alignment vertical="top"/>
    </xf>
    <xf numFmtId="1" fontId="14" fillId="0" borderId="1" xfId="0" applyNumberFormat="1" applyFont="1" applyBorder="1" applyAlignment="1">
      <alignment vertical="top"/>
    </xf>
    <xf numFmtId="166" fontId="14" fillId="3" borderId="1" xfId="0" applyNumberFormat="1" applyFont="1" applyFill="1" applyBorder="1" applyAlignment="1">
      <alignment vertical="top"/>
    </xf>
    <xf numFmtId="166" fontId="14" fillId="0" borderId="1" xfId="0" applyNumberFormat="1" applyFont="1" applyBorder="1" applyAlignment="1">
      <alignment vertical="top"/>
    </xf>
    <xf numFmtId="167" fontId="14" fillId="3" borderId="1" xfId="0" applyNumberFormat="1" applyFont="1" applyFill="1" applyBorder="1" applyAlignment="1">
      <alignment vertical="top"/>
    </xf>
    <xf numFmtId="167" fontId="14" fillId="0" borderId="1" xfId="0" applyNumberFormat="1" applyFont="1" applyBorder="1" applyAlignment="1">
      <alignment vertical="top"/>
    </xf>
    <xf numFmtId="4" fontId="14" fillId="3" borderId="1" xfId="0" applyNumberFormat="1" applyFont="1" applyFill="1" applyBorder="1" applyAlignment="1">
      <alignment vertical="top"/>
    </xf>
    <xf numFmtId="4" fontId="14" fillId="0" borderId="1" xfId="0" applyNumberFormat="1" applyFont="1" applyBorder="1" applyAlignment="1">
      <alignment vertical="top"/>
    </xf>
    <xf numFmtId="0" fontId="3" fillId="3" borderId="0" xfId="0" applyFont="1" applyFill="1"/>
    <xf numFmtId="0" fontId="3" fillId="0" borderId="0" xfId="0" applyFont="1"/>
    <xf numFmtId="0" fontId="6" fillId="4" borderId="2" xfId="0" applyFont="1" applyFill="1" applyBorder="1" applyAlignment="1">
      <alignment vertical="center" wrapText="1"/>
    </xf>
    <xf numFmtId="0" fontId="12" fillId="5" borderId="2" xfId="0" applyFont="1" applyFill="1" applyBorder="1" applyAlignment="1">
      <alignment vertical="top"/>
    </xf>
    <xf numFmtId="0" fontId="12" fillId="5" borderId="2" xfId="0" applyFont="1" applyFill="1" applyBorder="1" applyAlignment="1">
      <alignment vertical="top" wrapText="1"/>
    </xf>
    <xf numFmtId="0" fontId="12" fillId="0" borderId="2" xfId="0" applyFont="1" applyBorder="1" applyAlignment="1">
      <alignment vertical="top"/>
    </xf>
    <xf numFmtId="0" fontId="12" fillId="0" borderId="2" xfId="0" applyFont="1" applyBorder="1" applyAlignment="1">
      <alignment vertical="top" wrapText="1"/>
    </xf>
    <xf numFmtId="0" fontId="6" fillId="4" borderId="2" xfId="0" applyFont="1" applyFill="1" applyBorder="1" applyAlignment="1">
      <alignment horizontal="center" vertical="center" wrapText="1"/>
    </xf>
    <xf numFmtId="0" fontId="16" fillId="7" borderId="2" xfId="0" applyFont="1" applyFill="1" applyBorder="1" applyAlignment="1">
      <alignment vertical="top" wrapText="1"/>
    </xf>
    <xf numFmtId="0" fontId="12" fillId="8" borderId="2" xfId="0" applyFont="1" applyFill="1" applyBorder="1" applyAlignment="1">
      <alignment vertical="top" wrapText="1"/>
    </xf>
    <xf numFmtId="0" fontId="12" fillId="9" borderId="2" xfId="0" applyFont="1" applyFill="1" applyBorder="1" applyAlignment="1">
      <alignment vertical="top" wrapText="1"/>
    </xf>
    <xf numFmtId="0" fontId="12" fillId="10" borderId="2" xfId="0" applyFont="1" applyFill="1" applyBorder="1" applyAlignment="1">
      <alignment vertical="top" wrapText="1"/>
    </xf>
    <xf numFmtId="0" fontId="15" fillId="6"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00"/>
      <rgbColor rgb="FF008000"/>
      <rgbColor rgb="FF16166B"/>
      <rgbColor rgb="FF808000"/>
      <rgbColor rgb="FF800080"/>
      <rgbColor rgb="FF1C9AD6"/>
      <rgbColor rgb="FFD9D4CE"/>
      <rgbColor rgb="FF808080"/>
      <rgbColor rgb="FF9999FF"/>
      <rgbColor rgb="FF993366"/>
      <rgbColor rgb="FFFBF3EA"/>
      <rgbColor rgb="FFE7F5EE"/>
      <rgbColor rgb="FF660066"/>
      <rgbColor rgb="FFFF8080"/>
      <rgbColor rgb="FF0066CC"/>
      <rgbColor rgb="FFC7CEDB"/>
      <rgbColor rgb="FF000080"/>
      <rgbColor rgb="FFFF00FF"/>
      <rgbColor rgb="FFFFFF00"/>
      <rgbColor rgb="FF00FFFF"/>
      <rgbColor rgb="FF800080"/>
      <rgbColor rgb="FF800000"/>
      <rgbColor rgb="FF008080"/>
      <rgbColor rgb="FF0000FF"/>
      <rgbColor rgb="FF00CCFF"/>
      <rgbColor rgb="FFEAF1FB"/>
      <rgbColor rgb="FFF5F3F0"/>
      <rgbColor rgb="FFFBE9E7"/>
      <rgbColor rgb="FF99CCFF"/>
      <rgbColor rgb="FFFF99CC"/>
      <rgbColor rgb="FFCC99FF"/>
      <rgbColor rgb="FFF2F5FB"/>
      <rgbColor rgb="FF3366FF"/>
      <rgbColor rgb="FF33CCCC"/>
      <rgbColor rgb="FF99CC00"/>
      <rgbColor rgb="FFFFCC00"/>
      <rgbColor rgb="FFFF9900"/>
      <rgbColor rgb="FFFF6600"/>
      <rgbColor rgb="FF666699"/>
      <rgbColor rgb="FF969696"/>
      <rgbColor rgb="FF1F2E5A"/>
      <rgbColor rgb="FF339966"/>
      <rgbColor rgb="FF003300"/>
      <rgbColor rgb="FF444444"/>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5"/>
  <sheetViews>
    <sheetView showGridLines="0" zoomScaleNormal="100" workbookViewId="0"/>
  </sheetViews>
  <sheetFormatPr defaultColWidth="8.59765625" defaultRowHeight="14.25" x14ac:dyDescent="0.45"/>
  <cols>
    <col min="1" max="1" width="3" customWidth="1"/>
    <col min="2" max="2" width="34" customWidth="1"/>
    <col min="3" max="3" width="82" customWidth="1"/>
  </cols>
  <sheetData>
    <row r="1" spans="2:3" ht="19.5" customHeight="1" x14ac:dyDescent="0.6">
      <c r="B1" s="1" t="s">
        <v>0</v>
      </c>
    </row>
    <row r="2" spans="2:3" ht="15" customHeight="1" x14ac:dyDescent="0.45">
      <c r="B2" s="2" t="s">
        <v>1</v>
      </c>
    </row>
    <row r="4" spans="2:3" ht="34.5" customHeight="1" x14ac:dyDescent="0.45">
      <c r="B4" s="3" t="s">
        <v>2</v>
      </c>
      <c r="C4" s="3" t="s">
        <v>3</v>
      </c>
    </row>
    <row r="5" spans="2:3" ht="23.25" customHeight="1" x14ac:dyDescent="0.45">
      <c r="B5" s="3" t="s">
        <v>4</v>
      </c>
      <c r="C5" s="3" t="s">
        <v>5</v>
      </c>
    </row>
    <row r="6" spans="2:3" ht="34.5" customHeight="1" x14ac:dyDescent="0.45">
      <c r="B6" s="4" t="s">
        <v>6</v>
      </c>
      <c r="C6" s="4" t="s">
        <v>7</v>
      </c>
    </row>
    <row r="8" spans="2:3" ht="15" customHeight="1" x14ac:dyDescent="0.45">
      <c r="B8" s="5" t="s">
        <v>8</v>
      </c>
      <c r="C8" s="5"/>
    </row>
    <row r="9" spans="2:3" ht="15" customHeight="1" x14ac:dyDescent="0.45">
      <c r="B9" s="6" t="s">
        <v>9</v>
      </c>
      <c r="C9" s="7" t="s">
        <v>10</v>
      </c>
    </row>
    <row r="10" spans="2:3" ht="15" customHeight="1" x14ac:dyDescent="0.45">
      <c r="B10" s="8" t="s">
        <v>11</v>
      </c>
      <c r="C10" s="9" t="s">
        <v>12</v>
      </c>
    </row>
    <row r="11" spans="2:3" ht="15" customHeight="1" x14ac:dyDescent="0.45">
      <c r="B11" s="8" t="s">
        <v>13</v>
      </c>
      <c r="C11" s="9" t="s">
        <v>14</v>
      </c>
    </row>
    <row r="12" spans="2:3" ht="15" customHeight="1" x14ac:dyDescent="0.45">
      <c r="B12" s="8" t="s">
        <v>15</v>
      </c>
      <c r="C12" s="9" t="s">
        <v>16</v>
      </c>
    </row>
    <row r="13" spans="2:3" ht="15" customHeight="1" x14ac:dyDescent="0.45">
      <c r="B13" s="8" t="s">
        <v>17</v>
      </c>
      <c r="C13" s="9" t="s">
        <v>18</v>
      </c>
    </row>
    <row r="14" spans="2:3" ht="15" customHeight="1" x14ac:dyDescent="0.45">
      <c r="B14" s="8" t="s">
        <v>19</v>
      </c>
      <c r="C14" s="9" t="s">
        <v>20</v>
      </c>
    </row>
    <row r="15" spans="2:3" ht="15" customHeight="1" x14ac:dyDescent="0.45">
      <c r="B15" s="8" t="s">
        <v>21</v>
      </c>
      <c r="C15" s="9" t="s">
        <v>22</v>
      </c>
    </row>
    <row r="16" spans="2:3" ht="15" customHeight="1" x14ac:dyDescent="0.45">
      <c r="B16" s="8" t="s">
        <v>23</v>
      </c>
      <c r="C16" s="9" t="s">
        <v>24</v>
      </c>
    </row>
    <row r="17" spans="2:3" ht="15" customHeight="1" x14ac:dyDescent="0.45">
      <c r="B17" s="8" t="s">
        <v>25</v>
      </c>
      <c r="C17" s="9" t="s">
        <v>26</v>
      </c>
    </row>
    <row r="18" spans="2:3" ht="15" customHeight="1" x14ac:dyDescent="0.45">
      <c r="B18" s="8" t="s">
        <v>27</v>
      </c>
      <c r="C18" s="9" t="s">
        <v>28</v>
      </c>
    </row>
    <row r="19" spans="2:3" ht="15" customHeight="1" x14ac:dyDescent="0.45">
      <c r="B19" s="8" t="s">
        <v>29</v>
      </c>
      <c r="C19" s="9" t="s">
        <v>30</v>
      </c>
    </row>
    <row r="20" spans="2:3" ht="15" customHeight="1" x14ac:dyDescent="0.45">
      <c r="B20" s="8" t="s">
        <v>31</v>
      </c>
      <c r="C20" s="9" t="s">
        <v>32</v>
      </c>
    </row>
    <row r="21" spans="2:3" ht="15" customHeight="1" x14ac:dyDescent="0.45">
      <c r="B21" s="8" t="s">
        <v>33</v>
      </c>
      <c r="C21" s="9" t="s">
        <v>34</v>
      </c>
    </row>
    <row r="22" spans="2:3" ht="15" customHeight="1" x14ac:dyDescent="0.45">
      <c r="B22" s="8" t="s">
        <v>35</v>
      </c>
      <c r="C22" s="9" t="s">
        <v>36</v>
      </c>
    </row>
    <row r="23" spans="2:3" ht="15" customHeight="1" x14ac:dyDescent="0.45">
      <c r="B23" s="8" t="s">
        <v>37</v>
      </c>
      <c r="C23" s="9" t="s">
        <v>38</v>
      </c>
    </row>
    <row r="24" spans="2:3" ht="15" customHeight="1" x14ac:dyDescent="0.45">
      <c r="B24" s="8" t="s">
        <v>39</v>
      </c>
      <c r="C24" s="9" t="s">
        <v>40</v>
      </c>
    </row>
    <row r="25" spans="2:3" ht="15" customHeight="1" x14ac:dyDescent="0.45">
      <c r="B25" s="6" t="s">
        <v>41</v>
      </c>
      <c r="C25" s="7" t="s">
        <v>42</v>
      </c>
    </row>
    <row r="26" spans="2:3" ht="15" customHeight="1" x14ac:dyDescent="0.45">
      <c r="B26" s="8" t="s">
        <v>43</v>
      </c>
      <c r="C26" s="9" t="s">
        <v>44</v>
      </c>
    </row>
    <row r="27" spans="2:3" ht="15" customHeight="1" x14ac:dyDescent="0.45">
      <c r="B27" s="8" t="s">
        <v>45</v>
      </c>
      <c r="C27" s="9" t="s">
        <v>46</v>
      </c>
    </row>
    <row r="28" spans="2:3" ht="15" customHeight="1" x14ac:dyDescent="0.45">
      <c r="B28" s="8" t="s">
        <v>47</v>
      </c>
      <c r="C28" s="9" t="s">
        <v>48</v>
      </c>
    </row>
    <row r="29" spans="2:3" ht="15" customHeight="1" x14ac:dyDescent="0.45">
      <c r="B29" s="8" t="s">
        <v>49</v>
      </c>
      <c r="C29" s="9" t="s">
        <v>50</v>
      </c>
    </row>
    <row r="30" spans="2:3" ht="15" customHeight="1" x14ac:dyDescent="0.45">
      <c r="B30" s="8" t="s">
        <v>51</v>
      </c>
      <c r="C30" s="9" t="s">
        <v>52</v>
      </c>
    </row>
    <row r="31" spans="2:3" ht="15" customHeight="1" x14ac:dyDescent="0.45">
      <c r="B31" s="8" t="s">
        <v>53</v>
      </c>
      <c r="C31" s="9" t="s">
        <v>54</v>
      </c>
    </row>
    <row r="32" spans="2:3" ht="15" customHeight="1" x14ac:dyDescent="0.45">
      <c r="B32" s="8" t="s">
        <v>55</v>
      </c>
      <c r="C32" s="9" t="s">
        <v>56</v>
      </c>
    </row>
    <row r="33" spans="2:3" ht="15" customHeight="1" x14ac:dyDescent="0.45">
      <c r="B33" s="8" t="s">
        <v>57</v>
      </c>
      <c r="C33" s="9" t="s">
        <v>58</v>
      </c>
    </row>
    <row r="34" spans="2:3" ht="15" customHeight="1" x14ac:dyDescent="0.45">
      <c r="B34" s="8" t="s">
        <v>59</v>
      </c>
      <c r="C34" s="9" t="s">
        <v>60</v>
      </c>
    </row>
    <row r="35" spans="2:3" ht="15" customHeight="1" x14ac:dyDescent="0.45">
      <c r="B35" s="8" t="s">
        <v>61</v>
      </c>
      <c r="C35" s="9" t="s">
        <v>62</v>
      </c>
    </row>
    <row r="36" spans="2:3" ht="15" customHeight="1" x14ac:dyDescent="0.45">
      <c r="B36" s="6" t="s">
        <v>63</v>
      </c>
      <c r="C36" s="7" t="s">
        <v>64</v>
      </c>
    </row>
    <row r="37" spans="2:3" ht="15" customHeight="1" x14ac:dyDescent="0.45">
      <c r="B37" s="8" t="s">
        <v>65</v>
      </c>
      <c r="C37" s="9" t="s">
        <v>66</v>
      </c>
    </row>
    <row r="38" spans="2:3" ht="15" customHeight="1" x14ac:dyDescent="0.45">
      <c r="B38" s="8" t="s">
        <v>67</v>
      </c>
      <c r="C38" s="9" t="s">
        <v>68</v>
      </c>
    </row>
    <row r="39" spans="2:3" ht="15" customHeight="1" x14ac:dyDescent="0.45">
      <c r="B39" s="8" t="s">
        <v>69</v>
      </c>
      <c r="C39" s="9" t="s">
        <v>70</v>
      </c>
    </row>
    <row r="40" spans="2:3" ht="15" customHeight="1" x14ac:dyDescent="0.45">
      <c r="B40" s="8" t="s">
        <v>71</v>
      </c>
      <c r="C40" s="9" t="s">
        <v>72</v>
      </c>
    </row>
    <row r="41" spans="2:3" ht="15" customHeight="1" x14ac:dyDescent="0.45">
      <c r="B41" s="8" t="s">
        <v>73</v>
      </c>
      <c r="C41" s="9" t="s">
        <v>74</v>
      </c>
    </row>
    <row r="42" spans="2:3" ht="15" customHeight="1" x14ac:dyDescent="0.45">
      <c r="B42" s="8" t="s">
        <v>75</v>
      </c>
      <c r="C42" s="9" t="s">
        <v>76</v>
      </c>
    </row>
    <row r="43" spans="2:3" ht="15" customHeight="1" x14ac:dyDescent="0.45">
      <c r="B43" s="8" t="s">
        <v>77</v>
      </c>
      <c r="C43" s="9" t="s">
        <v>78</v>
      </c>
    </row>
    <row r="44" spans="2:3" ht="15" customHeight="1" x14ac:dyDescent="0.45">
      <c r="B44" s="8" t="s">
        <v>79</v>
      </c>
      <c r="C44" s="9" t="s">
        <v>80</v>
      </c>
    </row>
    <row r="45" spans="2:3" ht="15" customHeight="1" x14ac:dyDescent="0.45">
      <c r="B45" s="8" t="s">
        <v>81</v>
      </c>
      <c r="C45" s="9" t="s">
        <v>82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zoomScaleNormal="100" workbookViewId="0"/>
  </sheetViews>
  <sheetFormatPr defaultColWidth="8.59765625" defaultRowHeight="14.25" x14ac:dyDescent="0.45"/>
  <cols>
    <col min="1" max="1" width="30" customWidth="1"/>
    <col min="2" max="2" width="95" customWidth="1"/>
  </cols>
  <sheetData>
    <row r="1" spans="1:2" ht="43.5" customHeight="1" x14ac:dyDescent="0.45">
      <c r="A1" s="10" t="s">
        <v>83</v>
      </c>
    </row>
    <row r="2" spans="1:2" ht="51.75" customHeight="1" x14ac:dyDescent="0.45">
      <c r="A2" s="11" t="s">
        <v>84</v>
      </c>
    </row>
    <row r="3" spans="1:2" ht="15" customHeight="1" x14ac:dyDescent="0.45">
      <c r="A3" s="12"/>
    </row>
    <row r="4" spans="1:2" ht="32.25" customHeight="1" x14ac:dyDescent="0.45">
      <c r="A4" s="12" t="s">
        <v>2</v>
      </c>
      <c r="B4" s="13" t="s">
        <v>85</v>
      </c>
    </row>
    <row r="5" spans="1:2" ht="21.75" customHeight="1" x14ac:dyDescent="0.45">
      <c r="A5" s="12" t="s">
        <v>86</v>
      </c>
      <c r="B5" s="13" t="s">
        <v>87</v>
      </c>
    </row>
    <row r="6" spans="1:2" ht="15" customHeight="1" x14ac:dyDescent="0.45">
      <c r="A6" s="12" t="s">
        <v>4</v>
      </c>
      <c r="B6" s="13" t="s">
        <v>88</v>
      </c>
    </row>
    <row r="7" spans="1:2" ht="21.75" customHeight="1" x14ac:dyDescent="0.45">
      <c r="A7" s="12" t="s">
        <v>89</v>
      </c>
      <c r="B7" s="13" t="s">
        <v>90</v>
      </c>
    </row>
    <row r="8" spans="1:2" ht="32.25" customHeight="1" x14ac:dyDescent="0.45">
      <c r="A8" s="12" t="s">
        <v>6</v>
      </c>
      <c r="B8" s="13" t="s">
        <v>91</v>
      </c>
    </row>
    <row r="9" spans="1:2" ht="21.75" customHeight="1" x14ac:dyDescent="0.45">
      <c r="A9" s="12" t="s">
        <v>92</v>
      </c>
      <c r="B9" s="13" t="s">
        <v>93</v>
      </c>
    </row>
    <row r="10" spans="1:2" ht="15" customHeight="1" x14ac:dyDescent="0.45">
      <c r="A10" s="12"/>
    </row>
    <row r="11" spans="1:2" ht="23.25" customHeight="1" x14ac:dyDescent="0.45">
      <c r="A11" s="14" t="s">
        <v>94</v>
      </c>
      <c r="B11" s="13"/>
    </row>
    <row r="12" spans="1:2" ht="15" customHeight="1" x14ac:dyDescent="0.45">
      <c r="A12" s="12" t="s">
        <v>95</v>
      </c>
      <c r="B12" s="13" t="s">
        <v>96</v>
      </c>
    </row>
    <row r="13" spans="1:2" ht="15" customHeight="1" x14ac:dyDescent="0.45">
      <c r="A13" s="12" t="s">
        <v>97</v>
      </c>
      <c r="B13" s="13" t="s">
        <v>98</v>
      </c>
    </row>
    <row r="14" spans="1:2" ht="15" customHeight="1" x14ac:dyDescent="0.45">
      <c r="A14" s="12" t="s">
        <v>99</v>
      </c>
      <c r="B14" s="13" t="s">
        <v>100</v>
      </c>
    </row>
    <row r="15" spans="1:2" ht="15" customHeight="1" x14ac:dyDescent="0.45">
      <c r="A15" s="12" t="s">
        <v>101</v>
      </c>
      <c r="B15" s="13" t="s">
        <v>102</v>
      </c>
    </row>
    <row r="16" spans="1:2" ht="15" customHeight="1" x14ac:dyDescent="0.45">
      <c r="A16" s="12" t="s">
        <v>103</v>
      </c>
      <c r="B16" s="13" t="s">
        <v>104</v>
      </c>
    </row>
    <row r="17" spans="1:2" ht="15" customHeight="1" x14ac:dyDescent="0.45">
      <c r="A17" s="12" t="s">
        <v>105</v>
      </c>
      <c r="B17" s="13" t="s">
        <v>106</v>
      </c>
    </row>
    <row r="18" spans="1:2" ht="15" customHeight="1" x14ac:dyDescent="0.45">
      <c r="A18" s="12" t="s">
        <v>107</v>
      </c>
      <c r="B18" s="13" t="s">
        <v>108</v>
      </c>
    </row>
    <row r="19" spans="1:2" ht="15" customHeight="1" x14ac:dyDescent="0.45">
      <c r="A19" s="12" t="s">
        <v>109</v>
      </c>
      <c r="B19" s="13" t="s">
        <v>110</v>
      </c>
    </row>
    <row r="20" spans="1:2" ht="15" customHeight="1" x14ac:dyDescent="0.45">
      <c r="A20" s="12" t="s">
        <v>111</v>
      </c>
      <c r="B20" s="13" t="s">
        <v>112</v>
      </c>
    </row>
    <row r="21" spans="1:2" ht="15" customHeight="1" x14ac:dyDescent="0.45">
      <c r="A21" s="12" t="s">
        <v>113</v>
      </c>
      <c r="B21" s="13" t="s">
        <v>114</v>
      </c>
    </row>
    <row r="22" spans="1:2" ht="15" customHeight="1" x14ac:dyDescent="0.45">
      <c r="A22" s="12" t="s">
        <v>115</v>
      </c>
      <c r="B22" s="13" t="s">
        <v>116</v>
      </c>
    </row>
    <row r="23" spans="1:2" ht="15" customHeight="1" x14ac:dyDescent="0.45">
      <c r="A23" s="12" t="s">
        <v>117</v>
      </c>
      <c r="B23" s="13" t="s">
        <v>118</v>
      </c>
    </row>
    <row r="24" spans="1:2" ht="15" customHeight="1" x14ac:dyDescent="0.45">
      <c r="A24" s="12" t="s">
        <v>119</v>
      </c>
      <c r="B24" s="13" t="s">
        <v>120</v>
      </c>
    </row>
    <row r="25" spans="1:2" ht="15" customHeight="1" x14ac:dyDescent="0.45">
      <c r="A25" s="12" t="s">
        <v>121</v>
      </c>
      <c r="B25" s="13" t="s">
        <v>122</v>
      </c>
    </row>
    <row r="26" spans="1:2" ht="15" customHeight="1" x14ac:dyDescent="0.45">
      <c r="A26" s="12" t="s">
        <v>123</v>
      </c>
      <c r="B26" s="13" t="s">
        <v>124</v>
      </c>
    </row>
    <row r="27" spans="1:2" ht="15" customHeight="1" x14ac:dyDescent="0.45">
      <c r="A27" s="12" t="s">
        <v>125</v>
      </c>
      <c r="B27" s="13" t="s">
        <v>126</v>
      </c>
    </row>
    <row r="28" spans="1:2" ht="15" customHeight="1" x14ac:dyDescent="0.45">
      <c r="A28" s="12" t="s">
        <v>127</v>
      </c>
      <c r="B28" s="13" t="s">
        <v>128</v>
      </c>
    </row>
    <row r="29" spans="1:2" ht="15" customHeight="1" x14ac:dyDescent="0.45">
      <c r="A29" s="12" t="s">
        <v>129</v>
      </c>
      <c r="B29" s="13" t="s">
        <v>130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4"/>
  <sheetViews>
    <sheetView showGridLines="0" zoomScaleNormal="100" workbookViewId="0">
      <pane ySplit="1" topLeftCell="A2" activePane="bottomLeft" state="frozen"/>
      <selection pane="bottomLeft" activeCell="D15" sqref="D15"/>
    </sheetView>
  </sheetViews>
  <sheetFormatPr defaultColWidth="8.59765625" defaultRowHeight="14.25" x14ac:dyDescent="0.45"/>
  <cols>
    <col min="1" max="1" width="10" customWidth="1"/>
    <col min="2" max="2" width="26" customWidth="1"/>
    <col min="3" max="3" width="24" customWidth="1"/>
    <col min="4" max="4" width="26" customWidth="1"/>
    <col min="5" max="5" width="18" customWidth="1"/>
    <col min="6" max="7" width="12" customWidth="1"/>
    <col min="8" max="8" width="24" customWidth="1"/>
    <col min="9" max="9" width="10" customWidth="1"/>
    <col min="10" max="10" width="15" customWidth="1"/>
    <col min="11" max="11" width="10" customWidth="1"/>
  </cols>
  <sheetData>
    <row r="1" spans="1:11" ht="23.25" customHeight="1" x14ac:dyDescent="0.45">
      <c r="A1" s="15" t="s">
        <v>131</v>
      </c>
      <c r="B1" s="15" t="s">
        <v>132</v>
      </c>
      <c r="C1" s="15" t="s">
        <v>133</v>
      </c>
      <c r="D1" s="15" t="s">
        <v>134</v>
      </c>
      <c r="E1" s="15" t="s">
        <v>135</v>
      </c>
      <c r="F1" s="15" t="s">
        <v>136</v>
      </c>
      <c r="G1" s="15" t="s">
        <v>137</v>
      </c>
      <c r="H1" s="15" t="s">
        <v>138</v>
      </c>
      <c r="I1" s="15" t="s">
        <v>139</v>
      </c>
      <c r="J1" s="15" t="s">
        <v>140</v>
      </c>
      <c r="K1" s="15" t="s">
        <v>141</v>
      </c>
    </row>
    <row r="2" spans="1:11" ht="15" customHeight="1" x14ac:dyDescent="0.45">
      <c r="A2" s="16" t="s">
        <v>142</v>
      </c>
      <c r="B2" s="16" t="s">
        <v>143</v>
      </c>
      <c r="C2" s="17" t="s">
        <v>143</v>
      </c>
      <c r="D2" s="17" t="s">
        <v>144</v>
      </c>
      <c r="E2" s="16" t="s">
        <v>145</v>
      </c>
      <c r="F2" s="16" t="s">
        <v>146</v>
      </c>
      <c r="G2" s="16" t="s">
        <v>147</v>
      </c>
      <c r="H2" s="17" t="s">
        <v>148</v>
      </c>
      <c r="I2" s="16" t="s">
        <v>149</v>
      </c>
      <c r="J2" s="16" t="s">
        <v>150</v>
      </c>
      <c r="K2" s="16" t="s">
        <v>151</v>
      </c>
    </row>
    <row r="3" spans="1:11" ht="15" customHeight="1" x14ac:dyDescent="0.45">
      <c r="A3" s="18" t="s">
        <v>152</v>
      </c>
      <c r="B3" s="18" t="s">
        <v>153</v>
      </c>
      <c r="C3" s="19" t="s">
        <v>153</v>
      </c>
      <c r="D3" s="19" t="s">
        <v>154</v>
      </c>
      <c r="E3" s="18" t="s">
        <v>155</v>
      </c>
      <c r="F3" s="18" t="s">
        <v>156</v>
      </c>
      <c r="G3" s="18" t="s">
        <v>157</v>
      </c>
      <c r="H3" s="19" t="s">
        <v>158</v>
      </c>
      <c r="I3" s="18" t="s">
        <v>149</v>
      </c>
      <c r="J3" s="18" t="s">
        <v>159</v>
      </c>
      <c r="K3" s="18" t="s">
        <v>160</v>
      </c>
    </row>
    <row r="4" spans="1:11" ht="15" customHeight="1" x14ac:dyDescent="0.45">
      <c r="A4" s="16" t="s">
        <v>161</v>
      </c>
      <c r="B4" s="16" t="s">
        <v>162</v>
      </c>
      <c r="C4" s="17" t="s">
        <v>162</v>
      </c>
      <c r="D4" s="17" t="s">
        <v>163</v>
      </c>
      <c r="E4" s="16" t="s">
        <v>164</v>
      </c>
      <c r="F4" s="16" t="s">
        <v>156</v>
      </c>
      <c r="G4" s="16" t="s">
        <v>157</v>
      </c>
      <c r="H4" s="17" t="s">
        <v>158</v>
      </c>
      <c r="I4" s="16" t="s">
        <v>149</v>
      </c>
      <c r="J4" s="16" t="s">
        <v>165</v>
      </c>
      <c r="K4" s="16" t="s">
        <v>160</v>
      </c>
    </row>
    <row r="5" spans="1:11" ht="15" customHeight="1" x14ac:dyDescent="0.45">
      <c r="A5" s="18" t="s">
        <v>166</v>
      </c>
      <c r="B5" s="18" t="s">
        <v>167</v>
      </c>
      <c r="C5" s="19" t="s">
        <v>167</v>
      </c>
      <c r="D5" s="19" t="s">
        <v>167</v>
      </c>
      <c r="E5" s="18" t="s">
        <v>168</v>
      </c>
      <c r="F5" s="18" t="s">
        <v>169</v>
      </c>
      <c r="G5" s="18" t="s">
        <v>169</v>
      </c>
      <c r="H5" s="19" t="s">
        <v>158</v>
      </c>
      <c r="I5" s="18" t="s">
        <v>149</v>
      </c>
      <c r="J5" s="18" t="s">
        <v>170</v>
      </c>
      <c r="K5" s="18" t="s">
        <v>160</v>
      </c>
    </row>
    <row r="6" spans="1:11" ht="15" customHeight="1" x14ac:dyDescent="0.45">
      <c r="A6" s="16" t="s">
        <v>171</v>
      </c>
      <c r="B6" s="16" t="s">
        <v>172</v>
      </c>
      <c r="C6" s="17" t="s">
        <v>173</v>
      </c>
      <c r="D6" s="17" t="s">
        <v>172</v>
      </c>
      <c r="E6" s="16" t="s">
        <v>145</v>
      </c>
      <c r="F6" s="16" t="s">
        <v>174</v>
      </c>
      <c r="G6" s="16" t="s">
        <v>147</v>
      </c>
      <c r="H6" s="17" t="s">
        <v>175</v>
      </c>
      <c r="I6" s="16" t="s">
        <v>176</v>
      </c>
      <c r="J6" s="16" t="s">
        <v>177</v>
      </c>
      <c r="K6" s="16" t="s">
        <v>178</v>
      </c>
    </row>
    <row r="7" spans="1:11" ht="15" customHeight="1" x14ac:dyDescent="0.45">
      <c r="A7" s="18" t="s">
        <v>179</v>
      </c>
      <c r="B7" s="18" t="s">
        <v>180</v>
      </c>
      <c r="C7" s="19" t="s">
        <v>180</v>
      </c>
      <c r="D7" s="19" t="s">
        <v>181</v>
      </c>
      <c r="E7" s="18" t="s">
        <v>182</v>
      </c>
      <c r="F7" s="18" t="s">
        <v>156</v>
      </c>
      <c r="G7" s="18" t="s">
        <v>157</v>
      </c>
      <c r="H7" s="19" t="s">
        <v>158</v>
      </c>
      <c r="I7" s="18" t="s">
        <v>149</v>
      </c>
      <c r="J7" s="18" t="s">
        <v>183</v>
      </c>
      <c r="K7" s="18" t="s">
        <v>160</v>
      </c>
    </row>
    <row r="8" spans="1:11" ht="15" customHeight="1" x14ac:dyDescent="0.45">
      <c r="A8" s="16" t="s">
        <v>184</v>
      </c>
      <c r="B8" s="16" t="s">
        <v>185</v>
      </c>
      <c r="C8" s="17" t="s">
        <v>186</v>
      </c>
      <c r="D8" s="17" t="s">
        <v>187</v>
      </c>
      <c r="E8" s="16" t="s">
        <v>188</v>
      </c>
      <c r="F8" s="16" t="s">
        <v>156</v>
      </c>
      <c r="G8" s="16" t="s">
        <v>157</v>
      </c>
      <c r="H8" s="17" t="s">
        <v>158</v>
      </c>
      <c r="I8" s="16" t="s">
        <v>176</v>
      </c>
      <c r="J8" s="16" t="s">
        <v>189</v>
      </c>
      <c r="K8" s="16" t="s">
        <v>160</v>
      </c>
    </row>
    <row r="9" spans="1:11" ht="15" customHeight="1" x14ac:dyDescent="0.45">
      <c r="A9" s="18" t="s">
        <v>190</v>
      </c>
      <c r="B9" s="18" t="s">
        <v>191</v>
      </c>
      <c r="C9" s="19" t="s">
        <v>192</v>
      </c>
      <c r="D9" s="19" t="s">
        <v>193</v>
      </c>
      <c r="E9" s="18" t="s">
        <v>194</v>
      </c>
      <c r="F9" s="18" t="s">
        <v>146</v>
      </c>
      <c r="G9" s="18" t="s">
        <v>147</v>
      </c>
      <c r="H9" s="19" t="s">
        <v>195</v>
      </c>
      <c r="I9" s="18" t="s">
        <v>149</v>
      </c>
      <c r="J9" s="18" t="s">
        <v>196</v>
      </c>
      <c r="K9" s="18" t="s">
        <v>151</v>
      </c>
    </row>
    <row r="10" spans="1:11" ht="25.5" x14ac:dyDescent="0.45">
      <c r="A10" s="20" t="s">
        <v>197</v>
      </c>
      <c r="B10" s="20" t="s">
        <v>198</v>
      </c>
      <c r="C10" s="20" t="s">
        <v>198</v>
      </c>
      <c r="D10" s="20" t="s">
        <v>199</v>
      </c>
      <c r="E10" s="20" t="s">
        <v>200</v>
      </c>
      <c r="F10" s="20" t="s">
        <v>201</v>
      </c>
      <c r="G10" s="20" t="s">
        <v>202</v>
      </c>
      <c r="H10" s="20" t="s">
        <v>148</v>
      </c>
      <c r="I10" s="20" t="s">
        <v>149</v>
      </c>
      <c r="J10" s="20" t="s">
        <v>203</v>
      </c>
      <c r="K10" s="20" t="s">
        <v>160</v>
      </c>
    </row>
    <row r="11" spans="1:11" x14ac:dyDescent="0.45">
      <c r="A11" s="3" t="s">
        <v>204</v>
      </c>
      <c r="B11" s="3" t="s">
        <v>153</v>
      </c>
      <c r="C11" s="3" t="s">
        <v>153</v>
      </c>
      <c r="D11" s="3" t="s">
        <v>154</v>
      </c>
      <c r="E11" s="3" t="s">
        <v>155</v>
      </c>
      <c r="F11" s="3" t="s">
        <v>156</v>
      </c>
      <c r="G11" s="3" t="s">
        <v>157</v>
      </c>
      <c r="H11" s="3" t="s">
        <v>158</v>
      </c>
      <c r="I11" s="3" t="s">
        <v>149</v>
      </c>
      <c r="J11" s="3" t="s">
        <v>159</v>
      </c>
      <c r="K11" s="3" t="s">
        <v>160</v>
      </c>
    </row>
    <row r="12" spans="1:11" x14ac:dyDescent="0.45">
      <c r="A12" s="20" t="s">
        <v>205</v>
      </c>
      <c r="B12" s="20" t="s">
        <v>206</v>
      </c>
      <c r="C12" s="20" t="s">
        <v>206</v>
      </c>
      <c r="D12" s="20" t="s">
        <v>206</v>
      </c>
      <c r="E12" s="20" t="s">
        <v>207</v>
      </c>
      <c r="F12" s="20" t="s">
        <v>169</v>
      </c>
      <c r="G12" s="20" t="s">
        <v>169</v>
      </c>
      <c r="H12" s="20" t="s">
        <v>158</v>
      </c>
      <c r="I12" s="20" t="s">
        <v>149</v>
      </c>
      <c r="J12" s="20" t="s">
        <v>208</v>
      </c>
      <c r="K12" s="20" t="s">
        <v>160</v>
      </c>
    </row>
    <row r="13" spans="1:11" x14ac:dyDescent="0.45">
      <c r="A13" s="3" t="s">
        <v>209</v>
      </c>
      <c r="B13" s="3" t="s">
        <v>210</v>
      </c>
      <c r="C13" s="3" t="s">
        <v>210</v>
      </c>
      <c r="D13" s="3" t="s">
        <v>210</v>
      </c>
      <c r="E13" s="3" t="s">
        <v>211</v>
      </c>
      <c r="F13" s="3" t="s">
        <v>169</v>
      </c>
      <c r="G13" s="3" t="s">
        <v>169</v>
      </c>
      <c r="H13" s="3" t="s">
        <v>158</v>
      </c>
      <c r="I13" s="3" t="s">
        <v>176</v>
      </c>
      <c r="J13" s="3" t="s">
        <v>212</v>
      </c>
      <c r="K13" s="3" t="s">
        <v>160</v>
      </c>
    </row>
    <row r="14" spans="1:11" ht="25.5" x14ac:dyDescent="0.45">
      <c r="A14" s="20" t="s">
        <v>213</v>
      </c>
      <c r="B14" s="20" t="s">
        <v>214</v>
      </c>
      <c r="C14" s="20" t="s">
        <v>214</v>
      </c>
      <c r="D14" s="20" t="s">
        <v>214</v>
      </c>
      <c r="E14" s="20" t="s">
        <v>215</v>
      </c>
      <c r="F14" s="20" t="s">
        <v>169</v>
      </c>
      <c r="G14" s="20" t="s">
        <v>169</v>
      </c>
      <c r="H14" s="20" t="s">
        <v>158</v>
      </c>
      <c r="I14" s="20" t="s">
        <v>149</v>
      </c>
      <c r="J14" s="20" t="s">
        <v>216</v>
      </c>
      <c r="K14" s="20" t="s">
        <v>160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6" customWidth="1"/>
    <col min="3" max="3" width="12" customWidth="1"/>
    <col min="4" max="4" width="13" customWidth="1"/>
    <col min="5" max="6" width="15" customWidth="1"/>
    <col min="7" max="7" width="16" customWidth="1"/>
    <col min="8" max="9" width="14" customWidth="1"/>
    <col min="10" max="10" width="22" customWidth="1"/>
  </cols>
  <sheetData>
    <row r="1" spans="1:10" ht="23.25" customHeight="1" x14ac:dyDescent="0.45">
      <c r="A1" s="15" t="s">
        <v>131</v>
      </c>
      <c r="B1" s="15" t="s">
        <v>132</v>
      </c>
      <c r="C1" s="15" t="s">
        <v>217</v>
      </c>
      <c r="D1" s="15" t="s">
        <v>218</v>
      </c>
      <c r="E1" s="15" t="s">
        <v>219</v>
      </c>
      <c r="F1" s="15" t="s">
        <v>220</v>
      </c>
      <c r="G1" s="15" t="s">
        <v>221</v>
      </c>
      <c r="H1" s="15" t="s">
        <v>222</v>
      </c>
      <c r="I1" s="15" t="s">
        <v>223</v>
      </c>
      <c r="J1" s="15" t="s">
        <v>224</v>
      </c>
    </row>
    <row r="2" spans="1:10" ht="15" customHeight="1" x14ac:dyDescent="0.45">
      <c r="A2" s="16" t="s">
        <v>142</v>
      </c>
      <c r="B2" s="16" t="s">
        <v>143</v>
      </c>
      <c r="C2" s="16" t="s">
        <v>225</v>
      </c>
      <c r="D2" s="16" t="s">
        <v>226</v>
      </c>
      <c r="E2" s="16" t="s">
        <v>227</v>
      </c>
      <c r="F2" s="16" t="s">
        <v>228</v>
      </c>
      <c r="G2" s="16" t="s">
        <v>229</v>
      </c>
      <c r="H2" s="16" t="s">
        <v>230</v>
      </c>
      <c r="I2" s="16" t="s">
        <v>231</v>
      </c>
      <c r="J2" s="16" t="s">
        <v>232</v>
      </c>
    </row>
    <row r="3" spans="1:10" ht="15" customHeight="1" x14ac:dyDescent="0.45">
      <c r="A3" s="18" t="s">
        <v>152</v>
      </c>
      <c r="B3" s="18" t="s">
        <v>153</v>
      </c>
      <c r="C3" s="18" t="s">
        <v>225</v>
      </c>
      <c r="D3" s="18" t="s">
        <v>233</v>
      </c>
      <c r="E3" s="18" t="s">
        <v>234</v>
      </c>
      <c r="F3" s="18" t="s">
        <v>235</v>
      </c>
      <c r="G3" s="18" t="s">
        <v>229</v>
      </c>
      <c r="H3" s="18" t="s">
        <v>230</v>
      </c>
      <c r="I3" s="18" t="s">
        <v>231</v>
      </c>
      <c r="J3" s="18" t="s">
        <v>232</v>
      </c>
    </row>
    <row r="4" spans="1:10" ht="15" customHeight="1" x14ac:dyDescent="0.45">
      <c r="A4" s="16" t="s">
        <v>161</v>
      </c>
      <c r="B4" s="16" t="s">
        <v>162</v>
      </c>
      <c r="C4" s="16" t="s">
        <v>225</v>
      </c>
      <c r="D4" s="16" t="s">
        <v>233</v>
      </c>
      <c r="E4" s="16" t="s">
        <v>236</v>
      </c>
      <c r="F4" s="16" t="s">
        <v>237</v>
      </c>
      <c r="G4" s="16" t="s">
        <v>229</v>
      </c>
      <c r="H4" s="16" t="s">
        <v>230</v>
      </c>
      <c r="I4" s="16" t="s">
        <v>231</v>
      </c>
      <c r="J4" s="16" t="s">
        <v>232</v>
      </c>
    </row>
    <row r="5" spans="1:10" ht="15" customHeight="1" x14ac:dyDescent="0.45">
      <c r="A5" s="18" t="s">
        <v>166</v>
      </c>
      <c r="B5" s="18" t="s">
        <v>167</v>
      </c>
      <c r="C5" s="18" t="s">
        <v>225</v>
      </c>
      <c r="D5" s="18" t="s">
        <v>233</v>
      </c>
      <c r="E5" s="18" t="s">
        <v>238</v>
      </c>
      <c r="F5" s="18" t="s">
        <v>239</v>
      </c>
      <c r="G5" s="18" t="s">
        <v>229</v>
      </c>
      <c r="H5" s="18" t="s">
        <v>230</v>
      </c>
      <c r="I5" s="18" t="s">
        <v>231</v>
      </c>
      <c r="J5" s="18" t="s">
        <v>232</v>
      </c>
    </row>
    <row r="6" spans="1:10" ht="15" customHeight="1" x14ac:dyDescent="0.45">
      <c r="A6" s="16" t="s">
        <v>171</v>
      </c>
      <c r="B6" s="16" t="s">
        <v>172</v>
      </c>
      <c r="C6" s="16" t="s">
        <v>225</v>
      </c>
      <c r="D6" s="16" t="s">
        <v>226</v>
      </c>
      <c r="E6" s="16" t="s">
        <v>240</v>
      </c>
      <c r="F6" s="16" t="s">
        <v>241</v>
      </c>
      <c r="G6" s="16" t="s">
        <v>229</v>
      </c>
      <c r="H6" s="16" t="s">
        <v>230</v>
      </c>
      <c r="I6" s="16" t="s">
        <v>231</v>
      </c>
      <c r="J6" s="16" t="s">
        <v>242</v>
      </c>
    </row>
    <row r="7" spans="1:10" ht="15" customHeight="1" x14ac:dyDescent="0.45">
      <c r="A7" s="18" t="s">
        <v>179</v>
      </c>
      <c r="B7" s="18" t="s">
        <v>180</v>
      </c>
      <c r="C7" s="18" t="s">
        <v>225</v>
      </c>
      <c r="D7" s="18" t="s">
        <v>233</v>
      </c>
      <c r="E7" s="18" t="s">
        <v>243</v>
      </c>
      <c r="F7" s="18" t="s">
        <v>244</v>
      </c>
      <c r="G7" s="18" t="s">
        <v>229</v>
      </c>
      <c r="H7" s="18" t="s">
        <v>230</v>
      </c>
      <c r="I7" s="18" t="s">
        <v>231</v>
      </c>
      <c r="J7" s="18" t="s">
        <v>232</v>
      </c>
    </row>
    <row r="8" spans="1:10" ht="15" customHeight="1" x14ac:dyDescent="0.45">
      <c r="A8" s="16" t="s">
        <v>184</v>
      </c>
      <c r="B8" s="16" t="s">
        <v>185</v>
      </c>
      <c r="C8" s="16" t="s">
        <v>225</v>
      </c>
      <c r="D8" s="16" t="s">
        <v>233</v>
      </c>
      <c r="E8" s="16" t="s">
        <v>245</v>
      </c>
      <c r="F8" s="16" t="s">
        <v>246</v>
      </c>
      <c r="G8" s="16" t="s">
        <v>229</v>
      </c>
      <c r="H8" s="16" t="s">
        <v>230</v>
      </c>
      <c r="I8" s="16" t="s">
        <v>231</v>
      </c>
      <c r="J8" s="16" t="s">
        <v>232</v>
      </c>
    </row>
    <row r="9" spans="1:10" ht="15" customHeight="1" x14ac:dyDescent="0.45">
      <c r="A9" s="18" t="s">
        <v>190</v>
      </c>
      <c r="B9" s="18" t="s">
        <v>191</v>
      </c>
      <c r="C9" s="18" t="s">
        <v>225</v>
      </c>
      <c r="D9" s="18" t="s">
        <v>226</v>
      </c>
      <c r="E9" s="18" t="s">
        <v>247</v>
      </c>
      <c r="F9" s="18" t="s">
        <v>248</v>
      </c>
      <c r="G9" s="18" t="s">
        <v>229</v>
      </c>
      <c r="H9" s="18" t="s">
        <v>230</v>
      </c>
      <c r="I9" s="18" t="s">
        <v>231</v>
      </c>
      <c r="J9" s="18" t="s">
        <v>232</v>
      </c>
    </row>
    <row r="10" spans="1:10" x14ac:dyDescent="0.45">
      <c r="A10" s="20" t="s">
        <v>197</v>
      </c>
      <c r="B10" s="20" t="s">
        <v>198</v>
      </c>
      <c r="C10" s="20" t="s">
        <v>225</v>
      </c>
      <c r="D10" s="20" t="s">
        <v>226</v>
      </c>
      <c r="E10" s="20" t="s">
        <v>249</v>
      </c>
      <c r="F10" s="20" t="s">
        <v>250</v>
      </c>
      <c r="G10" s="20" t="s">
        <v>229</v>
      </c>
      <c r="H10" s="20" t="s">
        <v>230</v>
      </c>
      <c r="I10" s="20" t="s">
        <v>231</v>
      </c>
      <c r="J10" s="20" t="s">
        <v>232</v>
      </c>
    </row>
    <row r="11" spans="1:10" x14ac:dyDescent="0.45">
      <c r="A11" s="3" t="s">
        <v>204</v>
      </c>
      <c r="B11" s="3" t="s">
        <v>153</v>
      </c>
      <c r="C11" s="3" t="s">
        <v>225</v>
      </c>
      <c r="D11" s="3" t="s">
        <v>233</v>
      </c>
      <c r="E11" s="3" t="s">
        <v>234</v>
      </c>
      <c r="F11" s="3" t="s">
        <v>235</v>
      </c>
      <c r="G11" s="3" t="s">
        <v>229</v>
      </c>
      <c r="H11" s="3" t="s">
        <v>230</v>
      </c>
      <c r="I11" s="3" t="s">
        <v>231</v>
      </c>
      <c r="J11" s="3" t="s">
        <v>232</v>
      </c>
    </row>
    <row r="12" spans="1:10" x14ac:dyDescent="0.45">
      <c r="A12" s="20" t="s">
        <v>205</v>
      </c>
      <c r="B12" s="20" t="s">
        <v>206</v>
      </c>
      <c r="C12" s="20" t="s">
        <v>225</v>
      </c>
      <c r="D12" s="20" t="s">
        <v>233</v>
      </c>
      <c r="E12" s="20" t="s">
        <v>251</v>
      </c>
      <c r="F12" s="20" t="s">
        <v>252</v>
      </c>
      <c r="G12" s="20" t="s">
        <v>229</v>
      </c>
      <c r="H12" s="20" t="s">
        <v>230</v>
      </c>
      <c r="I12" s="20" t="s">
        <v>231</v>
      </c>
      <c r="J12" s="20" t="s">
        <v>232</v>
      </c>
    </row>
    <row r="13" spans="1:10" x14ac:dyDescent="0.45">
      <c r="A13" s="3" t="s">
        <v>209</v>
      </c>
      <c r="B13" s="3" t="s">
        <v>210</v>
      </c>
      <c r="C13" s="3" t="s">
        <v>225</v>
      </c>
      <c r="D13" s="3" t="s">
        <v>233</v>
      </c>
      <c r="E13" s="3" t="s">
        <v>253</v>
      </c>
      <c r="F13" s="3" t="s">
        <v>254</v>
      </c>
      <c r="G13" s="3" t="s">
        <v>229</v>
      </c>
      <c r="H13" s="3" t="s">
        <v>230</v>
      </c>
      <c r="I13" s="3" t="s">
        <v>231</v>
      </c>
      <c r="J13" s="3" t="s">
        <v>232</v>
      </c>
    </row>
    <row r="14" spans="1:10" x14ac:dyDescent="0.45">
      <c r="A14" s="20" t="s">
        <v>213</v>
      </c>
      <c r="B14" s="20" t="s">
        <v>214</v>
      </c>
      <c r="C14" s="20" t="s">
        <v>225</v>
      </c>
      <c r="D14" s="20" t="s">
        <v>226</v>
      </c>
      <c r="E14" s="20" t="s">
        <v>255</v>
      </c>
      <c r="F14" s="20" t="s">
        <v>256</v>
      </c>
      <c r="G14" s="20" t="s">
        <v>229</v>
      </c>
      <c r="H14" s="20" t="s">
        <v>230</v>
      </c>
      <c r="I14" s="20" t="s">
        <v>231</v>
      </c>
      <c r="J14" s="20" t="s">
        <v>232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6" customWidth="1"/>
    <col min="3" max="3" width="20" customWidth="1"/>
    <col min="4" max="4" width="24" customWidth="1"/>
    <col min="5" max="5" width="16" customWidth="1"/>
    <col min="6" max="6" width="22" customWidth="1"/>
    <col min="7" max="7" width="14" customWidth="1"/>
    <col min="8" max="8" width="11" customWidth="1"/>
    <col min="9" max="9" width="14" customWidth="1"/>
  </cols>
  <sheetData>
    <row r="1" spans="1:9" ht="23.25" customHeight="1" x14ac:dyDescent="0.45">
      <c r="A1" s="15" t="s">
        <v>131</v>
      </c>
      <c r="B1" s="15" t="s">
        <v>132</v>
      </c>
      <c r="C1" s="15" t="s">
        <v>257</v>
      </c>
      <c r="D1" s="15" t="s">
        <v>258</v>
      </c>
      <c r="E1" s="15" t="s">
        <v>259</v>
      </c>
      <c r="F1" s="15" t="s">
        <v>260</v>
      </c>
      <c r="G1" s="15" t="s">
        <v>261</v>
      </c>
      <c r="H1" s="15" t="s">
        <v>139</v>
      </c>
      <c r="I1" s="15" t="s">
        <v>262</v>
      </c>
    </row>
    <row r="2" spans="1:9" ht="15" customHeight="1" x14ac:dyDescent="0.45">
      <c r="A2" s="16" t="s">
        <v>142</v>
      </c>
      <c r="B2" s="16" t="s">
        <v>143</v>
      </c>
      <c r="C2" s="16" t="s">
        <v>263</v>
      </c>
      <c r="D2" s="16" t="s">
        <v>264</v>
      </c>
      <c r="E2" s="16" t="s">
        <v>265</v>
      </c>
      <c r="F2" s="16" t="s">
        <v>266</v>
      </c>
      <c r="G2" s="16" t="s">
        <v>267</v>
      </c>
      <c r="H2" s="16" t="s">
        <v>149</v>
      </c>
      <c r="I2" s="16" t="s">
        <v>147</v>
      </c>
    </row>
    <row r="3" spans="1:9" ht="15" customHeight="1" x14ac:dyDescent="0.45">
      <c r="A3" s="18" t="s">
        <v>152</v>
      </c>
      <c r="B3" s="18" t="s">
        <v>153</v>
      </c>
      <c r="C3" s="18" t="s">
        <v>268</v>
      </c>
      <c r="D3" s="18" t="s">
        <v>269</v>
      </c>
      <c r="E3" s="18" t="s">
        <v>270</v>
      </c>
      <c r="F3" s="18" t="s">
        <v>271</v>
      </c>
      <c r="G3" s="18" t="s">
        <v>267</v>
      </c>
      <c r="H3" s="18" t="s">
        <v>149</v>
      </c>
      <c r="I3" s="18" t="s">
        <v>157</v>
      </c>
    </row>
    <row r="4" spans="1:9" ht="15" customHeight="1" x14ac:dyDescent="0.45">
      <c r="A4" s="16" t="s">
        <v>161</v>
      </c>
      <c r="B4" s="16" t="s">
        <v>162</v>
      </c>
      <c r="C4" s="16" t="s">
        <v>268</v>
      </c>
      <c r="D4" s="16" t="s">
        <v>269</v>
      </c>
      <c r="E4" s="16" t="s">
        <v>272</v>
      </c>
      <c r="F4" s="16" t="s">
        <v>266</v>
      </c>
      <c r="G4" s="16" t="s">
        <v>267</v>
      </c>
      <c r="H4" s="16" t="s">
        <v>149</v>
      </c>
      <c r="I4" s="16" t="s">
        <v>157</v>
      </c>
    </row>
    <row r="5" spans="1:9" ht="15" customHeight="1" x14ac:dyDescent="0.45">
      <c r="A5" s="18" t="s">
        <v>166</v>
      </c>
      <c r="B5" s="18" t="s">
        <v>167</v>
      </c>
      <c r="C5" s="18" t="s">
        <v>273</v>
      </c>
      <c r="D5" s="18" t="s">
        <v>274</v>
      </c>
      <c r="E5" s="18" t="s">
        <v>270</v>
      </c>
      <c r="F5" s="18" t="s">
        <v>271</v>
      </c>
      <c r="G5" s="18" t="s">
        <v>267</v>
      </c>
      <c r="H5" s="18" t="s">
        <v>149</v>
      </c>
      <c r="I5" s="18" t="s">
        <v>169</v>
      </c>
    </row>
    <row r="6" spans="1:9" ht="15" customHeight="1" x14ac:dyDescent="0.45">
      <c r="A6" s="16" t="s">
        <v>171</v>
      </c>
      <c r="B6" s="16" t="s">
        <v>172</v>
      </c>
      <c r="C6" s="16" t="s">
        <v>263</v>
      </c>
      <c r="D6" s="16" t="s">
        <v>264</v>
      </c>
      <c r="E6" s="16" t="s">
        <v>265</v>
      </c>
      <c r="F6" s="16" t="s">
        <v>275</v>
      </c>
      <c r="G6" s="16" t="s">
        <v>276</v>
      </c>
      <c r="H6" s="16" t="s">
        <v>176</v>
      </c>
      <c r="I6" s="16" t="s">
        <v>147</v>
      </c>
    </row>
    <row r="7" spans="1:9" ht="15" customHeight="1" x14ac:dyDescent="0.45">
      <c r="A7" s="18" t="s">
        <v>179</v>
      </c>
      <c r="B7" s="18" t="s">
        <v>180</v>
      </c>
      <c r="C7" s="18" t="s">
        <v>268</v>
      </c>
      <c r="D7" s="18" t="s">
        <v>269</v>
      </c>
      <c r="E7" s="18" t="s">
        <v>270</v>
      </c>
      <c r="F7" s="18" t="s">
        <v>271</v>
      </c>
      <c r="G7" s="18" t="s">
        <v>277</v>
      </c>
      <c r="H7" s="18" t="s">
        <v>149</v>
      </c>
      <c r="I7" s="18" t="s">
        <v>157</v>
      </c>
    </row>
    <row r="8" spans="1:9" ht="15" customHeight="1" x14ac:dyDescent="0.45">
      <c r="A8" s="16" t="s">
        <v>184</v>
      </c>
      <c r="B8" s="16" t="s">
        <v>185</v>
      </c>
      <c r="C8" s="16" t="s">
        <v>268</v>
      </c>
      <c r="D8" s="16" t="s">
        <v>269</v>
      </c>
      <c r="E8" s="16" t="s">
        <v>272</v>
      </c>
      <c r="F8" s="16" t="s">
        <v>266</v>
      </c>
      <c r="G8" s="16" t="s">
        <v>277</v>
      </c>
      <c r="H8" s="16" t="s">
        <v>176</v>
      </c>
      <c r="I8" s="16" t="s">
        <v>157</v>
      </c>
    </row>
    <row r="9" spans="1:9" ht="15" customHeight="1" x14ac:dyDescent="0.45">
      <c r="A9" s="18" t="s">
        <v>190</v>
      </c>
      <c r="B9" s="18" t="s">
        <v>191</v>
      </c>
      <c r="C9" s="18" t="s">
        <v>263</v>
      </c>
      <c r="D9" s="18" t="s">
        <v>264</v>
      </c>
      <c r="E9" s="18" t="s">
        <v>265</v>
      </c>
      <c r="F9" s="18" t="s">
        <v>275</v>
      </c>
      <c r="G9" s="18" t="s">
        <v>267</v>
      </c>
      <c r="H9" s="18" t="s">
        <v>149</v>
      </c>
      <c r="I9" s="18" t="s">
        <v>147</v>
      </c>
    </row>
    <row r="10" spans="1:9" ht="25.5" x14ac:dyDescent="0.45">
      <c r="A10" s="20" t="s">
        <v>197</v>
      </c>
      <c r="B10" s="20" t="s">
        <v>198</v>
      </c>
      <c r="C10" s="20" t="s">
        <v>278</v>
      </c>
      <c r="D10" s="20" t="s">
        <v>279</v>
      </c>
      <c r="E10" s="20" t="s">
        <v>280</v>
      </c>
      <c r="F10" s="20" t="s">
        <v>266</v>
      </c>
      <c r="G10" s="20" t="s">
        <v>267</v>
      </c>
      <c r="H10" s="20" t="s">
        <v>149</v>
      </c>
      <c r="I10" s="20" t="s">
        <v>202</v>
      </c>
    </row>
    <row r="11" spans="1:9" x14ac:dyDescent="0.45">
      <c r="A11" s="3" t="s">
        <v>204</v>
      </c>
      <c r="B11" s="3" t="s">
        <v>153</v>
      </c>
      <c r="C11" s="3" t="s">
        <v>268</v>
      </c>
      <c r="D11" s="3" t="s">
        <v>269</v>
      </c>
      <c r="E11" s="3" t="s">
        <v>270</v>
      </c>
      <c r="F11" s="3" t="s">
        <v>271</v>
      </c>
      <c r="G11" s="3" t="s">
        <v>267</v>
      </c>
      <c r="H11" s="3" t="s">
        <v>149</v>
      </c>
      <c r="I11" s="3" t="s">
        <v>157</v>
      </c>
    </row>
    <row r="12" spans="1:9" x14ac:dyDescent="0.45">
      <c r="A12" s="20" t="s">
        <v>205</v>
      </c>
      <c r="B12" s="20" t="s">
        <v>206</v>
      </c>
      <c r="C12" s="20" t="s">
        <v>281</v>
      </c>
      <c r="D12" s="20" t="s">
        <v>282</v>
      </c>
      <c r="E12" s="20" t="s">
        <v>283</v>
      </c>
      <c r="F12" s="20" t="s">
        <v>266</v>
      </c>
      <c r="G12" s="20" t="s">
        <v>267</v>
      </c>
      <c r="H12" s="20" t="s">
        <v>149</v>
      </c>
      <c r="I12" s="20" t="s">
        <v>169</v>
      </c>
    </row>
    <row r="13" spans="1:9" ht="25.5" x14ac:dyDescent="0.45">
      <c r="A13" s="3" t="s">
        <v>209</v>
      </c>
      <c r="B13" s="3" t="s">
        <v>210</v>
      </c>
      <c r="C13" s="3" t="s">
        <v>281</v>
      </c>
      <c r="D13" s="3" t="s">
        <v>282</v>
      </c>
      <c r="E13" s="3" t="s">
        <v>283</v>
      </c>
      <c r="F13" s="3" t="s">
        <v>284</v>
      </c>
      <c r="G13" s="3" t="s">
        <v>277</v>
      </c>
      <c r="H13" s="3" t="s">
        <v>176</v>
      </c>
      <c r="I13" s="3" t="s">
        <v>169</v>
      </c>
    </row>
    <row r="14" spans="1:9" x14ac:dyDescent="0.45">
      <c r="A14" s="20" t="s">
        <v>213</v>
      </c>
      <c r="B14" s="20" t="s">
        <v>214</v>
      </c>
      <c r="C14" s="20" t="s">
        <v>281</v>
      </c>
      <c r="D14" s="20" t="s">
        <v>282</v>
      </c>
      <c r="E14" s="20" t="s">
        <v>283</v>
      </c>
      <c r="F14" s="20" t="s">
        <v>266</v>
      </c>
      <c r="G14" s="20" t="s">
        <v>267</v>
      </c>
      <c r="H14" s="20" t="s">
        <v>149</v>
      </c>
      <c r="I14" s="20" t="s">
        <v>169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showGridLines="0" zoomScaleNormal="100" workbookViewId="0">
      <pane ySplit="1" topLeftCell="A2" activePane="bottomLeft" state="frozen"/>
      <selection pane="bottomLeft"/>
    </sheetView>
  </sheetViews>
  <sheetFormatPr defaultColWidth="8.59765625" defaultRowHeight="14.25" x14ac:dyDescent="0.45"/>
  <cols>
    <col min="1" max="2" width="10" customWidth="1"/>
    <col min="3" max="3" width="24" customWidth="1"/>
    <col min="4" max="5" width="13" customWidth="1"/>
    <col min="6" max="6" width="18" customWidth="1"/>
    <col min="7" max="7" width="16" customWidth="1"/>
    <col min="8" max="8" width="26" customWidth="1"/>
    <col min="9" max="9" width="40" customWidth="1"/>
    <col min="10" max="10" width="11" customWidth="1"/>
    <col min="11" max="11" width="14" customWidth="1"/>
    <col min="12" max="12" width="16" customWidth="1"/>
  </cols>
  <sheetData>
    <row r="1" spans="1:12" ht="23.25" customHeight="1" x14ac:dyDescent="0.45">
      <c r="A1" s="15" t="s">
        <v>285</v>
      </c>
      <c r="B1" s="15" t="s">
        <v>131</v>
      </c>
      <c r="C1" s="15" t="s">
        <v>132</v>
      </c>
      <c r="D1" s="15" t="s">
        <v>286</v>
      </c>
      <c r="E1" s="15" t="s">
        <v>287</v>
      </c>
      <c r="F1" s="15" t="s">
        <v>288</v>
      </c>
      <c r="G1" s="15" t="s">
        <v>289</v>
      </c>
      <c r="H1" s="15" t="s">
        <v>290</v>
      </c>
      <c r="I1" s="15" t="s">
        <v>291</v>
      </c>
      <c r="J1" s="15" t="s">
        <v>292</v>
      </c>
      <c r="K1" s="15" t="s">
        <v>293</v>
      </c>
      <c r="L1" s="15" t="s">
        <v>294</v>
      </c>
    </row>
    <row r="2" spans="1:12" ht="23.25" customHeight="1" x14ac:dyDescent="0.45">
      <c r="A2" s="16" t="s">
        <v>295</v>
      </c>
      <c r="B2" s="16" t="s">
        <v>152</v>
      </c>
      <c r="C2" s="16" t="s">
        <v>153</v>
      </c>
      <c r="D2" s="16" t="s">
        <v>296</v>
      </c>
      <c r="E2" s="16" t="s">
        <v>297</v>
      </c>
      <c r="F2" s="16" t="s">
        <v>298</v>
      </c>
      <c r="G2" s="16" t="s">
        <v>299</v>
      </c>
      <c r="H2" s="17" t="s">
        <v>300</v>
      </c>
      <c r="I2" s="17" t="s">
        <v>301</v>
      </c>
      <c r="J2" s="16" t="s">
        <v>302</v>
      </c>
      <c r="K2" s="16" t="s">
        <v>303</v>
      </c>
      <c r="L2" s="16" t="s">
        <v>268</v>
      </c>
    </row>
    <row r="3" spans="1:12" ht="23.25" customHeight="1" x14ac:dyDescent="0.45">
      <c r="A3" s="18" t="s">
        <v>304</v>
      </c>
      <c r="B3" s="18" t="s">
        <v>152</v>
      </c>
      <c r="C3" s="18" t="s">
        <v>153</v>
      </c>
      <c r="D3" s="18" t="s">
        <v>305</v>
      </c>
      <c r="E3" s="18" t="s">
        <v>306</v>
      </c>
      <c r="F3" s="18" t="s">
        <v>307</v>
      </c>
      <c r="G3" s="18" t="s">
        <v>308</v>
      </c>
      <c r="H3" s="19" t="s">
        <v>309</v>
      </c>
      <c r="I3" s="19" t="s">
        <v>310</v>
      </c>
      <c r="J3" s="18" t="s">
        <v>302</v>
      </c>
      <c r="K3" s="18" t="s">
        <v>311</v>
      </c>
      <c r="L3" s="18" t="s">
        <v>268</v>
      </c>
    </row>
    <row r="4" spans="1:12" ht="23.25" customHeight="1" x14ac:dyDescent="0.45">
      <c r="A4" s="16" t="s">
        <v>312</v>
      </c>
      <c r="B4" s="16" t="s">
        <v>161</v>
      </c>
      <c r="C4" s="16" t="s">
        <v>162</v>
      </c>
      <c r="D4" s="16" t="s">
        <v>313</v>
      </c>
      <c r="E4" s="16" t="s">
        <v>297</v>
      </c>
      <c r="F4" s="16" t="s">
        <v>314</v>
      </c>
      <c r="G4" s="16" t="s">
        <v>308</v>
      </c>
      <c r="H4" s="17" t="s">
        <v>315</v>
      </c>
      <c r="I4" s="17" t="s">
        <v>316</v>
      </c>
      <c r="J4" s="16" t="s">
        <v>302</v>
      </c>
      <c r="K4" s="16" t="s">
        <v>317</v>
      </c>
      <c r="L4" s="16" t="s">
        <v>268</v>
      </c>
    </row>
    <row r="5" spans="1:12" ht="15" customHeight="1" x14ac:dyDescent="0.45">
      <c r="A5" s="18" t="s">
        <v>318</v>
      </c>
      <c r="B5" s="18" t="s">
        <v>142</v>
      </c>
      <c r="C5" s="18" t="s">
        <v>143</v>
      </c>
      <c r="D5" s="18" t="s">
        <v>319</v>
      </c>
      <c r="E5" s="18" t="s">
        <v>306</v>
      </c>
      <c r="F5" s="18" t="s">
        <v>320</v>
      </c>
      <c r="G5" s="18" t="s">
        <v>308</v>
      </c>
      <c r="H5" s="19" t="s">
        <v>321</v>
      </c>
      <c r="I5" s="19" t="s">
        <v>322</v>
      </c>
      <c r="J5" s="18" t="s">
        <v>302</v>
      </c>
      <c r="K5" s="18" t="s">
        <v>323</v>
      </c>
      <c r="L5" s="18" t="s">
        <v>263</v>
      </c>
    </row>
    <row r="6" spans="1:12" ht="23.25" customHeight="1" x14ac:dyDescent="0.45">
      <c r="A6" s="16" t="s">
        <v>324</v>
      </c>
      <c r="B6" s="16" t="s">
        <v>142</v>
      </c>
      <c r="C6" s="16" t="s">
        <v>143</v>
      </c>
      <c r="D6" s="16" t="s">
        <v>325</v>
      </c>
      <c r="E6" s="16" t="s">
        <v>297</v>
      </c>
      <c r="F6" s="16" t="s">
        <v>326</v>
      </c>
      <c r="G6" s="16" t="s">
        <v>327</v>
      </c>
      <c r="H6" s="17" t="s">
        <v>328</v>
      </c>
      <c r="I6" s="17" t="s">
        <v>329</v>
      </c>
      <c r="J6" s="16" t="s">
        <v>229</v>
      </c>
      <c r="K6" s="16"/>
      <c r="L6" s="16" t="s">
        <v>263</v>
      </c>
    </row>
    <row r="7" spans="1:12" ht="23.25" customHeight="1" x14ac:dyDescent="0.45">
      <c r="A7" s="18" t="s">
        <v>330</v>
      </c>
      <c r="B7" s="18" t="s">
        <v>166</v>
      </c>
      <c r="C7" s="18" t="s">
        <v>167</v>
      </c>
      <c r="D7" s="18" t="s">
        <v>331</v>
      </c>
      <c r="E7" s="18" t="s">
        <v>332</v>
      </c>
      <c r="F7" s="18" t="s">
        <v>333</v>
      </c>
      <c r="G7" s="18" t="s">
        <v>308</v>
      </c>
      <c r="H7" s="19" t="s">
        <v>334</v>
      </c>
      <c r="I7" s="19" t="s">
        <v>335</v>
      </c>
      <c r="J7" s="18" t="s">
        <v>229</v>
      </c>
      <c r="K7" s="18"/>
      <c r="L7" s="18" t="s">
        <v>273</v>
      </c>
    </row>
    <row r="8" spans="1:12" ht="15" customHeight="1" x14ac:dyDescent="0.45">
      <c r="A8" s="16" t="s">
        <v>336</v>
      </c>
      <c r="B8" s="16" t="s">
        <v>171</v>
      </c>
      <c r="C8" s="16" t="s">
        <v>172</v>
      </c>
      <c r="D8" s="16" t="s">
        <v>337</v>
      </c>
      <c r="E8" s="16" t="s">
        <v>306</v>
      </c>
      <c r="F8" s="16" t="s">
        <v>338</v>
      </c>
      <c r="G8" s="16" t="s">
        <v>308</v>
      </c>
      <c r="H8" s="17" t="s">
        <v>339</v>
      </c>
      <c r="I8" s="17" t="s">
        <v>340</v>
      </c>
      <c r="J8" s="16" t="s">
        <v>302</v>
      </c>
      <c r="K8" s="16" t="s">
        <v>341</v>
      </c>
      <c r="L8" s="16" t="s">
        <v>263</v>
      </c>
    </row>
    <row r="9" spans="1:12" ht="15" customHeight="1" x14ac:dyDescent="0.45">
      <c r="A9" s="18" t="s">
        <v>342</v>
      </c>
      <c r="B9" s="18" t="s">
        <v>190</v>
      </c>
      <c r="C9" s="18" t="s">
        <v>191</v>
      </c>
      <c r="D9" s="18" t="s">
        <v>343</v>
      </c>
      <c r="E9" s="18" t="s">
        <v>297</v>
      </c>
      <c r="F9" s="18" t="s">
        <v>344</v>
      </c>
      <c r="G9" s="18" t="s">
        <v>308</v>
      </c>
      <c r="H9" s="19" t="s">
        <v>345</v>
      </c>
      <c r="I9" s="19" t="s">
        <v>346</v>
      </c>
      <c r="J9" s="18" t="s">
        <v>302</v>
      </c>
      <c r="K9" s="18" t="s">
        <v>347</v>
      </c>
      <c r="L9" s="18" t="s">
        <v>263</v>
      </c>
    </row>
    <row r="10" spans="1:12" ht="15" customHeight="1" x14ac:dyDescent="0.45">
      <c r="A10" s="16" t="s">
        <v>348</v>
      </c>
      <c r="B10" s="16" t="s">
        <v>179</v>
      </c>
      <c r="C10" s="16" t="s">
        <v>180</v>
      </c>
      <c r="D10" s="16" t="s">
        <v>349</v>
      </c>
      <c r="E10" s="16" t="s">
        <v>306</v>
      </c>
      <c r="F10" s="16" t="s">
        <v>350</v>
      </c>
      <c r="G10" s="16" t="s">
        <v>308</v>
      </c>
      <c r="H10" s="17" t="s">
        <v>351</v>
      </c>
      <c r="I10" s="17" t="s">
        <v>352</v>
      </c>
      <c r="J10" s="16" t="s">
        <v>229</v>
      </c>
      <c r="K10" s="16"/>
      <c r="L10" s="16" t="s">
        <v>268</v>
      </c>
    </row>
    <row r="11" spans="1:12" ht="15" customHeight="1" x14ac:dyDescent="0.45">
      <c r="A11" s="18" t="s">
        <v>353</v>
      </c>
      <c r="B11" s="18" t="s">
        <v>184</v>
      </c>
      <c r="C11" s="18" t="s">
        <v>185</v>
      </c>
      <c r="D11" s="18" t="s">
        <v>247</v>
      </c>
      <c r="E11" s="18" t="s">
        <v>297</v>
      </c>
      <c r="F11" s="18" t="s">
        <v>354</v>
      </c>
      <c r="G11" s="18" t="s">
        <v>308</v>
      </c>
      <c r="H11" s="19" t="s">
        <v>355</v>
      </c>
      <c r="I11" s="19" t="s">
        <v>356</v>
      </c>
      <c r="J11" s="18" t="s">
        <v>302</v>
      </c>
      <c r="K11" s="18" t="s">
        <v>357</v>
      </c>
      <c r="L11" s="18" t="s">
        <v>268</v>
      </c>
    </row>
    <row r="12" spans="1:12" ht="25.5" x14ac:dyDescent="0.45">
      <c r="A12" s="20" t="s">
        <v>358</v>
      </c>
      <c r="B12" s="20" t="s">
        <v>197</v>
      </c>
      <c r="C12" s="20" t="s">
        <v>198</v>
      </c>
      <c r="D12" s="20" t="s">
        <v>343</v>
      </c>
      <c r="E12" s="20" t="s">
        <v>297</v>
      </c>
      <c r="F12" s="20" t="s">
        <v>359</v>
      </c>
      <c r="G12" s="20" t="s">
        <v>299</v>
      </c>
      <c r="H12" s="20" t="s">
        <v>360</v>
      </c>
      <c r="I12" s="20" t="s">
        <v>361</v>
      </c>
      <c r="J12" s="20" t="s">
        <v>302</v>
      </c>
      <c r="K12" s="20" t="s">
        <v>311</v>
      </c>
      <c r="L12" s="20" t="s">
        <v>278</v>
      </c>
    </row>
    <row r="13" spans="1:12" ht="25.5" x14ac:dyDescent="0.45">
      <c r="A13" s="3" t="s">
        <v>362</v>
      </c>
      <c r="B13" s="3" t="s">
        <v>197</v>
      </c>
      <c r="C13" s="3" t="s">
        <v>198</v>
      </c>
      <c r="D13" s="3" t="s">
        <v>363</v>
      </c>
      <c r="E13" s="3" t="s">
        <v>306</v>
      </c>
      <c r="F13" s="3" t="s">
        <v>364</v>
      </c>
      <c r="G13" s="3" t="s">
        <v>365</v>
      </c>
      <c r="H13" s="3" t="s">
        <v>366</v>
      </c>
      <c r="I13" s="3" t="s">
        <v>367</v>
      </c>
      <c r="J13" s="3" t="s">
        <v>302</v>
      </c>
      <c r="K13" s="3" t="s">
        <v>323</v>
      </c>
      <c r="L13" s="3" t="s">
        <v>280</v>
      </c>
    </row>
    <row r="14" spans="1:12" ht="25.5" x14ac:dyDescent="0.45">
      <c r="A14" s="20" t="s">
        <v>368</v>
      </c>
      <c r="B14" s="20" t="s">
        <v>204</v>
      </c>
      <c r="C14" s="20" t="s">
        <v>153</v>
      </c>
      <c r="D14" s="20" t="s">
        <v>296</v>
      </c>
      <c r="E14" s="20" t="s">
        <v>297</v>
      </c>
      <c r="F14" s="20" t="s">
        <v>298</v>
      </c>
      <c r="G14" s="20" t="s">
        <v>299</v>
      </c>
      <c r="H14" s="20" t="s">
        <v>300</v>
      </c>
      <c r="I14" s="20" t="s">
        <v>369</v>
      </c>
      <c r="J14" s="20" t="s">
        <v>302</v>
      </c>
      <c r="K14" s="20" t="s">
        <v>303</v>
      </c>
      <c r="L14" s="20" t="s">
        <v>268</v>
      </c>
    </row>
    <row r="15" spans="1:12" ht="25.5" x14ac:dyDescent="0.45">
      <c r="A15" s="3" t="s">
        <v>370</v>
      </c>
      <c r="B15" s="3" t="s">
        <v>204</v>
      </c>
      <c r="C15" s="3" t="s">
        <v>153</v>
      </c>
      <c r="D15" s="3" t="s">
        <v>305</v>
      </c>
      <c r="E15" s="3" t="s">
        <v>306</v>
      </c>
      <c r="F15" s="3" t="s">
        <v>307</v>
      </c>
      <c r="G15" s="3" t="s">
        <v>308</v>
      </c>
      <c r="H15" s="3" t="s">
        <v>309</v>
      </c>
      <c r="I15" s="3" t="s">
        <v>371</v>
      </c>
      <c r="J15" s="3" t="s">
        <v>302</v>
      </c>
      <c r="K15" s="3" t="s">
        <v>311</v>
      </c>
      <c r="L15" s="3" t="s">
        <v>268</v>
      </c>
    </row>
    <row r="16" spans="1:12" ht="25.5" x14ac:dyDescent="0.45">
      <c r="A16" s="20" t="s">
        <v>372</v>
      </c>
      <c r="B16" s="20" t="s">
        <v>205</v>
      </c>
      <c r="C16" s="20" t="s">
        <v>206</v>
      </c>
      <c r="D16" s="20" t="s">
        <v>313</v>
      </c>
      <c r="E16" s="20" t="s">
        <v>297</v>
      </c>
      <c r="F16" s="20" t="s">
        <v>373</v>
      </c>
      <c r="G16" s="20" t="s">
        <v>308</v>
      </c>
      <c r="H16" s="20" t="s">
        <v>374</v>
      </c>
      <c r="I16" s="20" t="s">
        <v>375</v>
      </c>
      <c r="J16" s="20" t="s">
        <v>302</v>
      </c>
      <c r="K16" s="20" t="s">
        <v>376</v>
      </c>
      <c r="L16" s="20" t="s">
        <v>281</v>
      </c>
    </row>
    <row r="17" spans="1:12" ht="25.5" x14ac:dyDescent="0.45">
      <c r="A17" s="3" t="s">
        <v>377</v>
      </c>
      <c r="B17" s="3" t="s">
        <v>205</v>
      </c>
      <c r="C17" s="3" t="s">
        <v>206</v>
      </c>
      <c r="D17" s="3" t="s">
        <v>331</v>
      </c>
      <c r="E17" s="3" t="s">
        <v>306</v>
      </c>
      <c r="F17" s="3" t="s">
        <v>378</v>
      </c>
      <c r="G17" s="3" t="s">
        <v>379</v>
      </c>
      <c r="H17" s="3" t="s">
        <v>380</v>
      </c>
      <c r="I17" s="3" t="s">
        <v>381</v>
      </c>
      <c r="J17" s="3" t="s">
        <v>302</v>
      </c>
      <c r="K17" s="3" t="s">
        <v>347</v>
      </c>
      <c r="L17" s="3" t="s">
        <v>283</v>
      </c>
    </row>
    <row r="18" spans="1:12" ht="25.5" x14ac:dyDescent="0.45">
      <c r="A18" s="20" t="s">
        <v>382</v>
      </c>
      <c r="B18" s="20" t="s">
        <v>209</v>
      </c>
      <c r="C18" s="20" t="s">
        <v>210</v>
      </c>
      <c r="D18" s="20" t="s">
        <v>383</v>
      </c>
      <c r="E18" s="20" t="s">
        <v>297</v>
      </c>
      <c r="F18" s="20" t="s">
        <v>384</v>
      </c>
      <c r="G18" s="20" t="s">
        <v>308</v>
      </c>
      <c r="H18" s="20" t="s">
        <v>385</v>
      </c>
      <c r="I18" s="20" t="s">
        <v>386</v>
      </c>
      <c r="J18" s="20" t="s">
        <v>302</v>
      </c>
      <c r="K18" s="20" t="s">
        <v>357</v>
      </c>
      <c r="L18" s="20" t="s">
        <v>281</v>
      </c>
    </row>
    <row r="19" spans="1:12" x14ac:dyDescent="0.45">
      <c r="A19" s="3" t="s">
        <v>387</v>
      </c>
      <c r="B19" s="3" t="s">
        <v>209</v>
      </c>
      <c r="C19" s="3" t="s">
        <v>210</v>
      </c>
      <c r="D19" s="3" t="s">
        <v>303</v>
      </c>
      <c r="E19" s="3" t="s">
        <v>306</v>
      </c>
      <c r="F19" s="3" t="s">
        <v>388</v>
      </c>
      <c r="G19" s="3" t="s">
        <v>389</v>
      </c>
      <c r="H19" s="3" t="s">
        <v>390</v>
      </c>
      <c r="I19" s="3" t="s">
        <v>391</v>
      </c>
      <c r="J19" s="3" t="s">
        <v>302</v>
      </c>
      <c r="K19" s="3" t="s">
        <v>392</v>
      </c>
      <c r="L19" s="3" t="s">
        <v>283</v>
      </c>
    </row>
    <row r="20" spans="1:12" ht="25.5" x14ac:dyDescent="0.45">
      <c r="A20" s="20" t="s">
        <v>393</v>
      </c>
      <c r="B20" s="20" t="s">
        <v>213</v>
      </c>
      <c r="C20" s="20" t="s">
        <v>214</v>
      </c>
      <c r="D20" s="20" t="s">
        <v>394</v>
      </c>
      <c r="E20" s="20" t="s">
        <v>297</v>
      </c>
      <c r="F20" s="20" t="s">
        <v>395</v>
      </c>
      <c r="G20" s="20" t="s">
        <v>308</v>
      </c>
      <c r="H20" s="20" t="s">
        <v>396</v>
      </c>
      <c r="I20" s="20" t="s">
        <v>397</v>
      </c>
      <c r="J20" s="20" t="s">
        <v>302</v>
      </c>
      <c r="K20" s="20" t="s">
        <v>398</v>
      </c>
      <c r="L20" s="20" t="s">
        <v>281</v>
      </c>
    </row>
    <row r="21" spans="1:12" ht="25.5" x14ac:dyDescent="0.45">
      <c r="A21" s="3" t="s">
        <v>399</v>
      </c>
      <c r="B21" s="3" t="s">
        <v>213</v>
      </c>
      <c r="C21" s="3" t="s">
        <v>214</v>
      </c>
      <c r="D21" s="3" t="s">
        <v>400</v>
      </c>
      <c r="E21" s="3" t="s">
        <v>306</v>
      </c>
      <c r="F21" s="3" t="s">
        <v>378</v>
      </c>
      <c r="G21" s="3" t="s">
        <v>379</v>
      </c>
      <c r="H21" s="3" t="s">
        <v>401</v>
      </c>
      <c r="I21" s="3" t="s">
        <v>402</v>
      </c>
      <c r="J21" s="3" t="s">
        <v>229</v>
      </c>
      <c r="K21" s="3"/>
      <c r="L21" s="3" t="s">
        <v>283</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80"/>
  <sheetViews>
    <sheetView showGridLines="0" zoomScaleNormal="100" workbookViewId="0">
      <pane ySplit="1" topLeftCell="A10" activePane="bottomLeft" state="frozen"/>
      <selection pane="bottomLeft"/>
    </sheetView>
  </sheetViews>
  <sheetFormatPr defaultColWidth="8.59765625" defaultRowHeight="14.25" x14ac:dyDescent="0.45"/>
  <cols>
    <col min="1" max="2" width="10" customWidth="1"/>
    <col min="3" max="3" width="24" customWidth="1"/>
    <col min="4" max="5" width="12" customWidth="1"/>
    <col min="6" max="6" width="16" customWidth="1"/>
    <col min="7" max="7" width="10" customWidth="1"/>
    <col min="8" max="8" width="12" customWidth="1"/>
    <col min="9" max="9" width="11" customWidth="1"/>
    <col min="10" max="10" width="10" customWidth="1"/>
    <col min="11" max="12" width="12" customWidth="1"/>
    <col min="13" max="13" width="9" customWidth="1"/>
    <col min="14" max="15" width="8" customWidth="1"/>
    <col min="16" max="16" width="10" customWidth="1"/>
  </cols>
  <sheetData>
    <row r="1" spans="1:16" ht="23.25" customHeight="1" x14ac:dyDescent="0.45">
      <c r="A1" s="15" t="s">
        <v>403</v>
      </c>
      <c r="B1" s="15" t="s">
        <v>131</v>
      </c>
      <c r="C1" s="15" t="s">
        <v>132</v>
      </c>
      <c r="D1" s="15" t="s">
        <v>404</v>
      </c>
      <c r="E1" s="15" t="s">
        <v>405</v>
      </c>
      <c r="F1" s="15" t="s">
        <v>406</v>
      </c>
      <c r="G1" s="15" t="s">
        <v>407</v>
      </c>
      <c r="H1" s="15" t="s">
        <v>408</v>
      </c>
      <c r="I1" s="15" t="s">
        <v>409</v>
      </c>
      <c r="J1" s="15" t="s">
        <v>410</v>
      </c>
      <c r="K1" s="15" t="s">
        <v>411</v>
      </c>
      <c r="L1" s="15" t="s">
        <v>412</v>
      </c>
      <c r="M1" s="15" t="s">
        <v>413</v>
      </c>
      <c r="N1" s="15" t="s">
        <v>414</v>
      </c>
      <c r="O1" s="15" t="s">
        <v>415</v>
      </c>
      <c r="P1" s="15" t="s">
        <v>416</v>
      </c>
    </row>
    <row r="2" spans="1:16" ht="15" customHeight="1" x14ac:dyDescent="0.45">
      <c r="A2" s="16" t="s">
        <v>417</v>
      </c>
      <c r="B2" s="16" t="s">
        <v>142</v>
      </c>
      <c r="C2" s="16" t="s">
        <v>143</v>
      </c>
      <c r="D2" s="16" t="s">
        <v>418</v>
      </c>
      <c r="E2" s="16" t="s">
        <v>419</v>
      </c>
      <c r="F2" s="16" t="s">
        <v>420</v>
      </c>
      <c r="G2" s="16"/>
      <c r="H2" s="21">
        <v>100</v>
      </c>
      <c r="I2" s="16" t="s">
        <v>160</v>
      </c>
      <c r="J2" s="16" t="s">
        <v>421</v>
      </c>
      <c r="K2" s="16" t="s">
        <v>422</v>
      </c>
      <c r="L2" s="16" t="s">
        <v>423</v>
      </c>
      <c r="M2" s="22">
        <v>2.2000000000000002</v>
      </c>
      <c r="N2" s="23">
        <v>0</v>
      </c>
      <c r="O2" s="22">
        <v>0</v>
      </c>
      <c r="P2" s="16" t="s">
        <v>424</v>
      </c>
    </row>
    <row r="3" spans="1:16" ht="15" customHeight="1" x14ac:dyDescent="0.45">
      <c r="A3" s="18" t="s">
        <v>425</v>
      </c>
      <c r="B3" s="18" t="s">
        <v>142</v>
      </c>
      <c r="C3" s="18" t="s">
        <v>143</v>
      </c>
      <c r="D3" s="18" t="s">
        <v>426</v>
      </c>
      <c r="E3" s="18" t="s">
        <v>419</v>
      </c>
      <c r="F3" s="18" t="s">
        <v>427</v>
      </c>
      <c r="G3" s="18"/>
      <c r="H3" s="24">
        <v>100</v>
      </c>
      <c r="I3" s="18" t="s">
        <v>160</v>
      </c>
      <c r="J3" s="18" t="s">
        <v>428</v>
      </c>
      <c r="K3" s="18" t="s">
        <v>429</v>
      </c>
      <c r="L3" s="18" t="s">
        <v>430</v>
      </c>
      <c r="M3" s="25">
        <v>2.2999999999999998</v>
      </c>
      <c r="N3" s="26">
        <v>0.2</v>
      </c>
      <c r="O3" s="25">
        <v>44.9</v>
      </c>
      <c r="P3" s="18" t="s">
        <v>424</v>
      </c>
    </row>
    <row r="4" spans="1:16" ht="15" customHeight="1" x14ac:dyDescent="0.45">
      <c r="A4" s="16" t="s">
        <v>431</v>
      </c>
      <c r="B4" s="16" t="s">
        <v>142</v>
      </c>
      <c r="C4" s="16" t="s">
        <v>143</v>
      </c>
      <c r="D4" s="16" t="s">
        <v>432</v>
      </c>
      <c r="E4" s="16" t="s">
        <v>433</v>
      </c>
      <c r="F4" s="16" t="s">
        <v>434</v>
      </c>
      <c r="G4" s="16" t="s">
        <v>435</v>
      </c>
      <c r="H4" s="21">
        <v>200</v>
      </c>
      <c r="I4" s="16" t="s">
        <v>160</v>
      </c>
      <c r="J4" s="16" t="s">
        <v>428</v>
      </c>
      <c r="K4" s="16" t="s">
        <v>383</v>
      </c>
      <c r="L4" s="16" t="s">
        <v>423</v>
      </c>
      <c r="M4" s="22">
        <v>27.4</v>
      </c>
      <c r="N4" s="23">
        <v>0</v>
      </c>
      <c r="O4" s="22">
        <v>0</v>
      </c>
      <c r="P4" s="16" t="s">
        <v>436</v>
      </c>
    </row>
    <row r="5" spans="1:16" ht="15" customHeight="1" x14ac:dyDescent="0.45">
      <c r="A5" s="18" t="s">
        <v>437</v>
      </c>
      <c r="B5" s="18" t="s">
        <v>142</v>
      </c>
      <c r="C5" s="18" t="s">
        <v>143</v>
      </c>
      <c r="D5" s="18" t="s">
        <v>438</v>
      </c>
      <c r="E5" s="18" t="s">
        <v>439</v>
      </c>
      <c r="F5" s="18" t="s">
        <v>440</v>
      </c>
      <c r="G5" s="18" t="s">
        <v>435</v>
      </c>
      <c r="H5" s="24">
        <v>150</v>
      </c>
      <c r="I5" s="18" t="s">
        <v>160</v>
      </c>
      <c r="J5" s="18" t="s">
        <v>428</v>
      </c>
      <c r="K5" s="18" t="s">
        <v>441</v>
      </c>
      <c r="L5" s="18" t="s">
        <v>423</v>
      </c>
      <c r="M5" s="25">
        <v>7.3</v>
      </c>
      <c r="N5" s="26">
        <v>7.0000000000000007E-2</v>
      </c>
      <c r="O5" s="25">
        <v>77.8</v>
      </c>
      <c r="P5" s="18" t="s">
        <v>424</v>
      </c>
    </row>
    <row r="6" spans="1:16" ht="15" customHeight="1" x14ac:dyDescent="0.45">
      <c r="A6" s="16" t="s">
        <v>442</v>
      </c>
      <c r="B6" s="16" t="s">
        <v>142</v>
      </c>
      <c r="C6" s="16" t="s">
        <v>143</v>
      </c>
      <c r="D6" s="16" t="s">
        <v>349</v>
      </c>
      <c r="E6" s="16" t="s">
        <v>419</v>
      </c>
      <c r="F6" s="16" t="s">
        <v>427</v>
      </c>
      <c r="G6" s="16"/>
      <c r="H6" s="21">
        <v>100</v>
      </c>
      <c r="I6" s="16" t="s">
        <v>160</v>
      </c>
      <c r="J6" s="16" t="s">
        <v>428</v>
      </c>
      <c r="K6" s="16" t="s">
        <v>443</v>
      </c>
      <c r="L6" s="16" t="s">
        <v>423</v>
      </c>
      <c r="M6" s="22">
        <v>7</v>
      </c>
      <c r="N6" s="23">
        <v>-0.91</v>
      </c>
      <c r="O6" s="22">
        <v>18.2</v>
      </c>
      <c r="P6" s="16" t="s">
        <v>424</v>
      </c>
    </row>
    <row r="7" spans="1:16" ht="15" customHeight="1" x14ac:dyDescent="0.45">
      <c r="A7" s="18" t="s">
        <v>444</v>
      </c>
      <c r="B7" s="18" t="s">
        <v>142</v>
      </c>
      <c r="C7" s="18" t="s">
        <v>143</v>
      </c>
      <c r="D7" s="18" t="s">
        <v>445</v>
      </c>
      <c r="E7" s="18" t="s">
        <v>439</v>
      </c>
      <c r="F7" s="18" t="s">
        <v>446</v>
      </c>
      <c r="G7" s="18" t="s">
        <v>447</v>
      </c>
      <c r="H7" s="24">
        <v>200</v>
      </c>
      <c r="I7" s="18" t="s">
        <v>160</v>
      </c>
      <c r="J7" s="18" t="s">
        <v>428</v>
      </c>
      <c r="K7" s="18" t="s">
        <v>448</v>
      </c>
      <c r="L7" s="18" t="s">
        <v>423</v>
      </c>
      <c r="M7" s="25">
        <v>3.7</v>
      </c>
      <c r="N7" s="26">
        <v>-0.57999999999999996</v>
      </c>
      <c r="O7" s="25">
        <v>0</v>
      </c>
      <c r="P7" s="18" t="s">
        <v>436</v>
      </c>
    </row>
    <row r="8" spans="1:16" ht="15" customHeight="1" x14ac:dyDescent="0.45">
      <c r="A8" s="16" t="s">
        <v>449</v>
      </c>
      <c r="B8" s="16" t="s">
        <v>142</v>
      </c>
      <c r="C8" s="16" t="s">
        <v>143</v>
      </c>
      <c r="D8" s="16" t="s">
        <v>450</v>
      </c>
      <c r="E8" s="16" t="s">
        <v>419</v>
      </c>
      <c r="F8" s="16" t="s">
        <v>420</v>
      </c>
      <c r="G8" s="16"/>
      <c r="H8" s="21">
        <v>75</v>
      </c>
      <c r="I8" s="16" t="s">
        <v>160</v>
      </c>
      <c r="J8" s="16" t="s">
        <v>428</v>
      </c>
      <c r="K8" s="16" t="s">
        <v>451</v>
      </c>
      <c r="L8" s="16" t="s">
        <v>430</v>
      </c>
      <c r="M8" s="22">
        <v>4.5999999999999996</v>
      </c>
      <c r="N8" s="23">
        <v>0</v>
      </c>
      <c r="O8" s="22">
        <v>0</v>
      </c>
      <c r="P8" s="16" t="s">
        <v>424</v>
      </c>
    </row>
    <row r="9" spans="1:16" ht="15" customHeight="1" x14ac:dyDescent="0.45">
      <c r="A9" s="18" t="s">
        <v>452</v>
      </c>
      <c r="B9" s="18" t="s">
        <v>142</v>
      </c>
      <c r="C9" s="18" t="s">
        <v>143</v>
      </c>
      <c r="D9" s="18" t="s">
        <v>453</v>
      </c>
      <c r="E9" s="18" t="s">
        <v>419</v>
      </c>
      <c r="F9" s="18" t="s">
        <v>427</v>
      </c>
      <c r="G9" s="18"/>
      <c r="H9" s="24">
        <v>200</v>
      </c>
      <c r="I9" s="18" t="s">
        <v>160</v>
      </c>
      <c r="J9" s="18" t="s">
        <v>428</v>
      </c>
      <c r="K9" s="18" t="s">
        <v>454</v>
      </c>
      <c r="L9" s="18" t="s">
        <v>430</v>
      </c>
      <c r="M9" s="25">
        <v>4</v>
      </c>
      <c r="N9" s="26">
        <v>-0.87</v>
      </c>
      <c r="O9" s="25">
        <v>73.099999999999994</v>
      </c>
      <c r="P9" s="18" t="s">
        <v>424</v>
      </c>
    </row>
    <row r="10" spans="1:16" ht="15" customHeight="1" x14ac:dyDescent="0.45">
      <c r="A10" s="16" t="s">
        <v>455</v>
      </c>
      <c r="B10" s="16" t="s">
        <v>152</v>
      </c>
      <c r="C10" s="16" t="s">
        <v>153</v>
      </c>
      <c r="D10" s="16" t="s">
        <v>456</v>
      </c>
      <c r="E10" s="16" t="s">
        <v>419</v>
      </c>
      <c r="F10" s="16" t="s">
        <v>427</v>
      </c>
      <c r="G10" s="16"/>
      <c r="H10" s="21">
        <v>75</v>
      </c>
      <c r="I10" s="16" t="s">
        <v>160</v>
      </c>
      <c r="J10" s="16" t="s">
        <v>428</v>
      </c>
      <c r="K10" s="16" t="s">
        <v>457</v>
      </c>
      <c r="L10" s="16" t="s">
        <v>458</v>
      </c>
      <c r="M10" s="22">
        <v>2.6</v>
      </c>
      <c r="N10" s="23">
        <v>-0.51</v>
      </c>
      <c r="O10" s="22">
        <v>44.9</v>
      </c>
      <c r="P10" s="16" t="s">
        <v>436</v>
      </c>
    </row>
    <row r="11" spans="1:16" ht="15" customHeight="1" x14ac:dyDescent="0.45">
      <c r="A11" s="18" t="s">
        <v>459</v>
      </c>
      <c r="B11" s="18" t="s">
        <v>152</v>
      </c>
      <c r="C11" s="18" t="s">
        <v>153</v>
      </c>
      <c r="D11" s="18" t="s">
        <v>460</v>
      </c>
      <c r="E11" s="18" t="s">
        <v>419</v>
      </c>
      <c r="F11" s="18" t="s">
        <v>427</v>
      </c>
      <c r="G11" s="18"/>
      <c r="H11" s="24">
        <v>500</v>
      </c>
      <c r="I11" s="18" t="s">
        <v>160</v>
      </c>
      <c r="J11" s="18" t="s">
        <v>421</v>
      </c>
      <c r="K11" s="18" t="s">
        <v>461</v>
      </c>
      <c r="L11" s="18" t="s">
        <v>430</v>
      </c>
      <c r="M11" s="25">
        <v>4.9000000000000004</v>
      </c>
      <c r="N11" s="26">
        <v>0.51</v>
      </c>
      <c r="O11" s="25">
        <v>68.900000000000006</v>
      </c>
      <c r="P11" s="18" t="s">
        <v>424</v>
      </c>
    </row>
    <row r="12" spans="1:16" ht="15" customHeight="1" x14ac:dyDescent="0.45">
      <c r="A12" s="16" t="s">
        <v>462</v>
      </c>
      <c r="B12" s="16" t="s">
        <v>152</v>
      </c>
      <c r="C12" s="16" t="s">
        <v>153</v>
      </c>
      <c r="D12" s="16" t="s">
        <v>463</v>
      </c>
      <c r="E12" s="16" t="s">
        <v>419</v>
      </c>
      <c r="F12" s="16" t="s">
        <v>427</v>
      </c>
      <c r="G12" s="16"/>
      <c r="H12" s="21">
        <v>250</v>
      </c>
      <c r="I12" s="16" t="s">
        <v>160</v>
      </c>
      <c r="J12" s="16" t="s">
        <v>421</v>
      </c>
      <c r="K12" s="16" t="s">
        <v>464</v>
      </c>
      <c r="L12" s="16" t="s">
        <v>423</v>
      </c>
      <c r="M12" s="22">
        <v>6</v>
      </c>
      <c r="N12" s="23">
        <v>-0.06</v>
      </c>
      <c r="O12" s="22">
        <v>20.100000000000001</v>
      </c>
      <c r="P12" s="16" t="s">
        <v>436</v>
      </c>
    </row>
    <row r="13" spans="1:16" ht="15" customHeight="1" x14ac:dyDescent="0.45">
      <c r="A13" s="18" t="s">
        <v>465</v>
      </c>
      <c r="B13" s="18" t="s">
        <v>152</v>
      </c>
      <c r="C13" s="18" t="s">
        <v>153</v>
      </c>
      <c r="D13" s="18" t="s">
        <v>466</v>
      </c>
      <c r="E13" s="18" t="s">
        <v>419</v>
      </c>
      <c r="F13" s="18" t="s">
        <v>427</v>
      </c>
      <c r="G13" s="18"/>
      <c r="H13" s="24">
        <v>150</v>
      </c>
      <c r="I13" s="18" t="s">
        <v>160</v>
      </c>
      <c r="J13" s="18" t="s">
        <v>428</v>
      </c>
      <c r="K13" s="18" t="s">
        <v>467</v>
      </c>
      <c r="L13" s="18" t="s">
        <v>430</v>
      </c>
      <c r="M13" s="25">
        <v>4.3</v>
      </c>
      <c r="N13" s="26">
        <v>-0.09</v>
      </c>
      <c r="O13" s="25">
        <v>76.3</v>
      </c>
      <c r="P13" s="18" t="s">
        <v>424</v>
      </c>
    </row>
    <row r="14" spans="1:16" ht="15" customHeight="1" x14ac:dyDescent="0.45">
      <c r="A14" s="16" t="s">
        <v>468</v>
      </c>
      <c r="B14" s="16" t="s">
        <v>152</v>
      </c>
      <c r="C14" s="16" t="s">
        <v>153</v>
      </c>
      <c r="D14" s="16" t="s">
        <v>349</v>
      </c>
      <c r="E14" s="16" t="s">
        <v>419</v>
      </c>
      <c r="F14" s="16" t="s">
        <v>420</v>
      </c>
      <c r="G14" s="16"/>
      <c r="H14" s="21">
        <v>100</v>
      </c>
      <c r="I14" s="16" t="s">
        <v>160</v>
      </c>
      <c r="J14" s="16" t="s">
        <v>421</v>
      </c>
      <c r="K14" s="16" t="s">
        <v>469</v>
      </c>
      <c r="L14" s="16" t="s">
        <v>423</v>
      </c>
      <c r="M14" s="22">
        <v>1.5</v>
      </c>
      <c r="N14" s="23">
        <v>0</v>
      </c>
      <c r="O14" s="22">
        <v>0</v>
      </c>
      <c r="P14" s="16" t="s">
        <v>470</v>
      </c>
    </row>
    <row r="15" spans="1:16" ht="15" customHeight="1" x14ac:dyDescent="0.45">
      <c r="A15" s="18" t="s">
        <v>471</v>
      </c>
      <c r="B15" s="18" t="s">
        <v>152</v>
      </c>
      <c r="C15" s="18" t="s">
        <v>153</v>
      </c>
      <c r="D15" s="18" t="s">
        <v>472</v>
      </c>
      <c r="E15" s="18" t="s">
        <v>419</v>
      </c>
      <c r="F15" s="18" t="s">
        <v>427</v>
      </c>
      <c r="G15" s="18"/>
      <c r="H15" s="24">
        <v>200</v>
      </c>
      <c r="I15" s="18" t="s">
        <v>160</v>
      </c>
      <c r="J15" s="18" t="s">
        <v>421</v>
      </c>
      <c r="K15" s="18" t="s">
        <v>473</v>
      </c>
      <c r="L15" s="18" t="s">
        <v>430</v>
      </c>
      <c r="M15" s="25">
        <v>8.8000000000000007</v>
      </c>
      <c r="N15" s="26">
        <v>0.66</v>
      </c>
      <c r="O15" s="25">
        <v>24.6</v>
      </c>
      <c r="P15" s="18" t="s">
        <v>424</v>
      </c>
    </row>
    <row r="16" spans="1:16" ht="15" customHeight="1" x14ac:dyDescent="0.45">
      <c r="A16" s="16" t="s">
        <v>474</v>
      </c>
      <c r="B16" s="16" t="s">
        <v>152</v>
      </c>
      <c r="C16" s="16" t="s">
        <v>153</v>
      </c>
      <c r="D16" s="16" t="s">
        <v>475</v>
      </c>
      <c r="E16" s="16" t="s">
        <v>419</v>
      </c>
      <c r="F16" s="16" t="s">
        <v>420</v>
      </c>
      <c r="G16" s="16"/>
      <c r="H16" s="21">
        <v>50</v>
      </c>
      <c r="I16" s="16" t="s">
        <v>160</v>
      </c>
      <c r="J16" s="16" t="s">
        <v>421</v>
      </c>
      <c r="K16" s="16" t="s">
        <v>476</v>
      </c>
      <c r="L16" s="16" t="s">
        <v>430</v>
      </c>
      <c r="M16" s="22">
        <v>9.8000000000000007</v>
      </c>
      <c r="N16" s="23">
        <v>0</v>
      </c>
      <c r="O16" s="22">
        <v>0</v>
      </c>
      <c r="P16" s="16" t="s">
        <v>436</v>
      </c>
    </row>
    <row r="17" spans="1:16" ht="15" customHeight="1" x14ac:dyDescent="0.45">
      <c r="A17" s="18" t="s">
        <v>477</v>
      </c>
      <c r="B17" s="18" t="s">
        <v>152</v>
      </c>
      <c r="C17" s="18" t="s">
        <v>153</v>
      </c>
      <c r="D17" s="18" t="s">
        <v>478</v>
      </c>
      <c r="E17" s="18" t="s">
        <v>419</v>
      </c>
      <c r="F17" s="18" t="s">
        <v>427</v>
      </c>
      <c r="G17" s="18"/>
      <c r="H17" s="24">
        <v>500</v>
      </c>
      <c r="I17" s="18" t="s">
        <v>160</v>
      </c>
      <c r="J17" s="18" t="s">
        <v>421</v>
      </c>
      <c r="K17" s="18" t="s">
        <v>479</v>
      </c>
      <c r="L17" s="18" t="s">
        <v>480</v>
      </c>
      <c r="M17" s="25">
        <v>8.6999999999999993</v>
      </c>
      <c r="N17" s="26">
        <v>-0.15</v>
      </c>
      <c r="O17" s="25">
        <v>16.899999999999999</v>
      </c>
      <c r="P17" s="18" t="s">
        <v>424</v>
      </c>
    </row>
    <row r="18" spans="1:16" ht="15" customHeight="1" x14ac:dyDescent="0.45">
      <c r="A18" s="16" t="s">
        <v>481</v>
      </c>
      <c r="B18" s="16" t="s">
        <v>152</v>
      </c>
      <c r="C18" s="16" t="s">
        <v>153</v>
      </c>
      <c r="D18" s="16" t="s">
        <v>482</v>
      </c>
      <c r="E18" s="16" t="s">
        <v>433</v>
      </c>
      <c r="F18" s="16" t="s">
        <v>434</v>
      </c>
      <c r="G18" s="16" t="s">
        <v>435</v>
      </c>
      <c r="H18" s="21">
        <v>50</v>
      </c>
      <c r="I18" s="16" t="s">
        <v>160</v>
      </c>
      <c r="J18" s="16" t="s">
        <v>421</v>
      </c>
      <c r="K18" s="16" t="s">
        <v>483</v>
      </c>
      <c r="L18" s="16" t="s">
        <v>430</v>
      </c>
      <c r="M18" s="22">
        <v>9.6</v>
      </c>
      <c r="N18" s="23">
        <v>0</v>
      </c>
      <c r="O18" s="22">
        <v>0</v>
      </c>
      <c r="P18" s="16" t="s">
        <v>436</v>
      </c>
    </row>
    <row r="19" spans="1:16" ht="15" customHeight="1" x14ac:dyDescent="0.45">
      <c r="A19" s="18" t="s">
        <v>484</v>
      </c>
      <c r="B19" s="18" t="s">
        <v>161</v>
      </c>
      <c r="C19" s="18" t="s">
        <v>162</v>
      </c>
      <c r="D19" s="18" t="s">
        <v>432</v>
      </c>
      <c r="E19" s="18" t="s">
        <v>419</v>
      </c>
      <c r="F19" s="18" t="s">
        <v>420</v>
      </c>
      <c r="G19" s="18"/>
      <c r="H19" s="24">
        <v>100</v>
      </c>
      <c r="I19" s="18" t="s">
        <v>160</v>
      </c>
      <c r="J19" s="18" t="s">
        <v>421</v>
      </c>
      <c r="K19" s="18" t="s">
        <v>485</v>
      </c>
      <c r="L19" s="18" t="s">
        <v>480</v>
      </c>
      <c r="M19" s="25">
        <v>0.7</v>
      </c>
      <c r="N19" s="26">
        <v>0</v>
      </c>
      <c r="O19" s="25">
        <v>0</v>
      </c>
      <c r="P19" s="18" t="s">
        <v>424</v>
      </c>
    </row>
    <row r="20" spans="1:16" ht="15" customHeight="1" x14ac:dyDescent="0.45">
      <c r="A20" s="16" t="s">
        <v>486</v>
      </c>
      <c r="B20" s="16" t="s">
        <v>161</v>
      </c>
      <c r="C20" s="16" t="s">
        <v>162</v>
      </c>
      <c r="D20" s="16" t="s">
        <v>487</v>
      </c>
      <c r="E20" s="16" t="s">
        <v>439</v>
      </c>
      <c r="F20" s="16" t="s">
        <v>488</v>
      </c>
      <c r="G20" s="16" t="s">
        <v>489</v>
      </c>
      <c r="H20" s="21">
        <v>100</v>
      </c>
      <c r="I20" s="16" t="s">
        <v>490</v>
      </c>
      <c r="J20" s="16" t="s">
        <v>428</v>
      </c>
      <c r="K20" s="16" t="s">
        <v>491</v>
      </c>
      <c r="L20" s="16" t="s">
        <v>430</v>
      </c>
      <c r="M20" s="22">
        <v>1.3</v>
      </c>
      <c r="N20" s="23">
        <v>0.87</v>
      </c>
      <c r="O20" s="22">
        <v>0</v>
      </c>
      <c r="P20" s="16" t="s">
        <v>436</v>
      </c>
    </row>
    <row r="21" spans="1:16" ht="15" customHeight="1" x14ac:dyDescent="0.45">
      <c r="A21" s="18" t="s">
        <v>492</v>
      </c>
      <c r="B21" s="18" t="s">
        <v>161</v>
      </c>
      <c r="C21" s="18" t="s">
        <v>162</v>
      </c>
      <c r="D21" s="18" t="s">
        <v>493</v>
      </c>
      <c r="E21" s="18" t="s">
        <v>433</v>
      </c>
      <c r="F21" s="18" t="s">
        <v>494</v>
      </c>
      <c r="G21" s="18"/>
      <c r="H21" s="24">
        <v>250</v>
      </c>
      <c r="I21" s="18" t="s">
        <v>160</v>
      </c>
      <c r="J21" s="18" t="s">
        <v>421</v>
      </c>
      <c r="K21" s="18" t="s">
        <v>495</v>
      </c>
      <c r="L21" s="18" t="s">
        <v>423</v>
      </c>
      <c r="M21" s="25">
        <v>50.5</v>
      </c>
      <c r="N21" s="26">
        <v>0</v>
      </c>
      <c r="O21" s="25">
        <v>0</v>
      </c>
      <c r="P21" s="18" t="s">
        <v>424</v>
      </c>
    </row>
    <row r="22" spans="1:16" ht="15" customHeight="1" x14ac:dyDescent="0.45">
      <c r="A22" s="16" t="s">
        <v>496</v>
      </c>
      <c r="B22" s="16" t="s">
        <v>161</v>
      </c>
      <c r="C22" s="16" t="s">
        <v>162</v>
      </c>
      <c r="D22" s="16" t="s">
        <v>497</v>
      </c>
      <c r="E22" s="16" t="s">
        <v>439</v>
      </c>
      <c r="F22" s="16" t="s">
        <v>440</v>
      </c>
      <c r="G22" s="16" t="s">
        <v>447</v>
      </c>
      <c r="H22" s="21">
        <v>100</v>
      </c>
      <c r="I22" s="16" t="s">
        <v>160</v>
      </c>
      <c r="J22" s="16" t="s">
        <v>428</v>
      </c>
      <c r="K22" s="16" t="s">
        <v>498</v>
      </c>
      <c r="L22" s="16" t="s">
        <v>458</v>
      </c>
      <c r="M22" s="22">
        <v>1.9</v>
      </c>
      <c r="N22" s="23">
        <v>-0.1</v>
      </c>
      <c r="O22" s="22">
        <v>33.799999999999997</v>
      </c>
      <c r="P22" s="16" t="s">
        <v>424</v>
      </c>
    </row>
    <row r="23" spans="1:16" ht="15" customHeight="1" x14ac:dyDescent="0.45">
      <c r="A23" s="18" t="s">
        <v>499</v>
      </c>
      <c r="B23" s="18" t="s">
        <v>161</v>
      </c>
      <c r="C23" s="18" t="s">
        <v>162</v>
      </c>
      <c r="D23" s="18" t="s">
        <v>500</v>
      </c>
      <c r="E23" s="18" t="s">
        <v>439</v>
      </c>
      <c r="F23" s="18" t="s">
        <v>446</v>
      </c>
      <c r="G23" s="18" t="s">
        <v>501</v>
      </c>
      <c r="H23" s="24">
        <v>25</v>
      </c>
      <c r="I23" s="18" t="s">
        <v>160</v>
      </c>
      <c r="J23" s="18" t="s">
        <v>421</v>
      </c>
      <c r="K23" s="18" t="s">
        <v>502</v>
      </c>
      <c r="L23" s="18" t="s">
        <v>430</v>
      </c>
      <c r="M23" s="25">
        <v>10</v>
      </c>
      <c r="N23" s="26">
        <v>0.67</v>
      </c>
      <c r="O23" s="25">
        <v>0</v>
      </c>
      <c r="P23" s="18" t="s">
        <v>424</v>
      </c>
    </row>
    <row r="24" spans="1:16" ht="15" customHeight="1" x14ac:dyDescent="0.45">
      <c r="A24" s="16" t="s">
        <v>503</v>
      </c>
      <c r="B24" s="16" t="s">
        <v>161</v>
      </c>
      <c r="C24" s="16" t="s">
        <v>162</v>
      </c>
      <c r="D24" s="16" t="s">
        <v>504</v>
      </c>
      <c r="E24" s="16" t="s">
        <v>439</v>
      </c>
      <c r="F24" s="16" t="s">
        <v>440</v>
      </c>
      <c r="G24" s="16" t="s">
        <v>435</v>
      </c>
      <c r="H24" s="21">
        <v>250</v>
      </c>
      <c r="I24" s="16" t="s">
        <v>160</v>
      </c>
      <c r="J24" s="16" t="s">
        <v>428</v>
      </c>
      <c r="K24" s="16" t="s">
        <v>505</v>
      </c>
      <c r="L24" s="16" t="s">
        <v>480</v>
      </c>
      <c r="M24" s="22">
        <v>1.6</v>
      </c>
      <c r="N24" s="23">
        <v>-1</v>
      </c>
      <c r="O24" s="22">
        <v>31.2</v>
      </c>
      <c r="P24" s="16" t="s">
        <v>424</v>
      </c>
    </row>
    <row r="25" spans="1:16" ht="15" customHeight="1" x14ac:dyDescent="0.45">
      <c r="A25" s="18" t="s">
        <v>506</v>
      </c>
      <c r="B25" s="18" t="s">
        <v>161</v>
      </c>
      <c r="C25" s="18" t="s">
        <v>162</v>
      </c>
      <c r="D25" s="18" t="s">
        <v>507</v>
      </c>
      <c r="E25" s="18" t="s">
        <v>433</v>
      </c>
      <c r="F25" s="18" t="s">
        <v>494</v>
      </c>
      <c r="G25" s="18"/>
      <c r="H25" s="24">
        <v>100</v>
      </c>
      <c r="I25" s="18" t="s">
        <v>160</v>
      </c>
      <c r="J25" s="18" t="s">
        <v>421</v>
      </c>
      <c r="K25" s="18" t="s">
        <v>508</v>
      </c>
      <c r="L25" s="18" t="s">
        <v>480</v>
      </c>
      <c r="M25" s="25">
        <v>70.3</v>
      </c>
      <c r="N25" s="26">
        <v>0</v>
      </c>
      <c r="O25" s="25">
        <v>0</v>
      </c>
      <c r="P25" s="18" t="s">
        <v>424</v>
      </c>
    </row>
    <row r="26" spans="1:16" ht="15" customHeight="1" x14ac:dyDescent="0.45">
      <c r="A26" s="16" t="s">
        <v>509</v>
      </c>
      <c r="B26" s="16" t="s">
        <v>161</v>
      </c>
      <c r="C26" s="16" t="s">
        <v>162</v>
      </c>
      <c r="D26" s="16" t="s">
        <v>510</v>
      </c>
      <c r="E26" s="16" t="s">
        <v>439</v>
      </c>
      <c r="F26" s="16" t="s">
        <v>446</v>
      </c>
      <c r="G26" s="16" t="s">
        <v>447</v>
      </c>
      <c r="H26" s="21">
        <v>500</v>
      </c>
      <c r="I26" s="16" t="s">
        <v>160</v>
      </c>
      <c r="J26" s="16" t="s">
        <v>421</v>
      </c>
      <c r="K26" s="16" t="s">
        <v>511</v>
      </c>
      <c r="L26" s="16" t="s">
        <v>423</v>
      </c>
      <c r="M26" s="22">
        <v>0.6</v>
      </c>
      <c r="N26" s="23">
        <v>0.02</v>
      </c>
      <c r="O26" s="22">
        <v>0</v>
      </c>
      <c r="P26" s="16" t="s">
        <v>470</v>
      </c>
    </row>
    <row r="27" spans="1:16" ht="15" customHeight="1" x14ac:dyDescent="0.45">
      <c r="A27" s="18" t="s">
        <v>512</v>
      </c>
      <c r="B27" s="18" t="s">
        <v>161</v>
      </c>
      <c r="C27" s="18" t="s">
        <v>162</v>
      </c>
      <c r="D27" s="18" t="s">
        <v>325</v>
      </c>
      <c r="E27" s="18" t="s">
        <v>419</v>
      </c>
      <c r="F27" s="18" t="s">
        <v>420</v>
      </c>
      <c r="G27" s="18"/>
      <c r="H27" s="24">
        <v>50</v>
      </c>
      <c r="I27" s="18" t="s">
        <v>160</v>
      </c>
      <c r="J27" s="18" t="s">
        <v>421</v>
      </c>
      <c r="K27" s="18" t="s">
        <v>513</v>
      </c>
      <c r="L27" s="18" t="s">
        <v>423</v>
      </c>
      <c r="M27" s="25">
        <v>9.4</v>
      </c>
      <c r="N27" s="26">
        <v>0</v>
      </c>
      <c r="O27" s="25">
        <v>0</v>
      </c>
      <c r="P27" s="18" t="s">
        <v>436</v>
      </c>
    </row>
    <row r="28" spans="1:16" ht="15" customHeight="1" x14ac:dyDescent="0.45">
      <c r="A28" s="16" t="s">
        <v>514</v>
      </c>
      <c r="B28" s="16" t="s">
        <v>161</v>
      </c>
      <c r="C28" s="16" t="s">
        <v>162</v>
      </c>
      <c r="D28" s="16" t="s">
        <v>515</v>
      </c>
      <c r="E28" s="16" t="s">
        <v>419</v>
      </c>
      <c r="F28" s="16" t="s">
        <v>420</v>
      </c>
      <c r="G28" s="16"/>
      <c r="H28" s="21">
        <v>500</v>
      </c>
      <c r="I28" s="16" t="s">
        <v>160</v>
      </c>
      <c r="J28" s="16" t="s">
        <v>428</v>
      </c>
      <c r="K28" s="16" t="s">
        <v>516</v>
      </c>
      <c r="L28" s="16" t="s">
        <v>430</v>
      </c>
      <c r="M28" s="22">
        <v>3.2</v>
      </c>
      <c r="N28" s="23">
        <v>0</v>
      </c>
      <c r="O28" s="22">
        <v>0</v>
      </c>
      <c r="P28" s="16" t="s">
        <v>470</v>
      </c>
    </row>
    <row r="29" spans="1:16" ht="15" customHeight="1" x14ac:dyDescent="0.45">
      <c r="A29" s="18" t="s">
        <v>517</v>
      </c>
      <c r="B29" s="18" t="s">
        <v>166</v>
      </c>
      <c r="C29" s="18" t="s">
        <v>167</v>
      </c>
      <c r="D29" s="18" t="s">
        <v>518</v>
      </c>
      <c r="E29" s="18" t="s">
        <v>419</v>
      </c>
      <c r="F29" s="18" t="s">
        <v>427</v>
      </c>
      <c r="G29" s="18"/>
      <c r="H29" s="24">
        <v>75</v>
      </c>
      <c r="I29" s="18" t="s">
        <v>160</v>
      </c>
      <c r="J29" s="18" t="s">
        <v>421</v>
      </c>
      <c r="K29" s="18" t="s">
        <v>519</v>
      </c>
      <c r="L29" s="18" t="s">
        <v>423</v>
      </c>
      <c r="M29" s="25">
        <v>6.7</v>
      </c>
      <c r="N29" s="26">
        <v>-0.4</v>
      </c>
      <c r="O29" s="25">
        <v>25.3</v>
      </c>
      <c r="P29" s="18" t="s">
        <v>436</v>
      </c>
    </row>
    <row r="30" spans="1:16" ht="15" customHeight="1" x14ac:dyDescent="0.45">
      <c r="A30" s="16" t="s">
        <v>520</v>
      </c>
      <c r="B30" s="16" t="s">
        <v>166</v>
      </c>
      <c r="C30" s="16" t="s">
        <v>167</v>
      </c>
      <c r="D30" s="16" t="s">
        <v>521</v>
      </c>
      <c r="E30" s="16" t="s">
        <v>433</v>
      </c>
      <c r="F30" s="16" t="s">
        <v>522</v>
      </c>
      <c r="G30" s="16" t="s">
        <v>435</v>
      </c>
      <c r="H30" s="21">
        <v>500</v>
      </c>
      <c r="I30" s="16" t="s">
        <v>160</v>
      </c>
      <c r="J30" s="16" t="s">
        <v>421</v>
      </c>
      <c r="K30" s="16" t="s">
        <v>523</v>
      </c>
      <c r="L30" s="16" t="s">
        <v>430</v>
      </c>
      <c r="M30" s="22">
        <v>112.1</v>
      </c>
      <c r="N30" s="23">
        <v>0</v>
      </c>
      <c r="O30" s="22">
        <v>0</v>
      </c>
      <c r="P30" s="16" t="s">
        <v>424</v>
      </c>
    </row>
    <row r="31" spans="1:16" ht="15" customHeight="1" x14ac:dyDescent="0.45">
      <c r="A31" s="18" t="s">
        <v>524</v>
      </c>
      <c r="B31" s="18" t="s">
        <v>166</v>
      </c>
      <c r="C31" s="18" t="s">
        <v>167</v>
      </c>
      <c r="D31" s="18" t="s">
        <v>525</v>
      </c>
      <c r="E31" s="18" t="s">
        <v>433</v>
      </c>
      <c r="F31" s="18" t="s">
        <v>434</v>
      </c>
      <c r="G31" s="18"/>
      <c r="H31" s="24">
        <v>150</v>
      </c>
      <c r="I31" s="18" t="s">
        <v>160</v>
      </c>
      <c r="J31" s="18" t="s">
        <v>421</v>
      </c>
      <c r="K31" s="18" t="s">
        <v>526</v>
      </c>
      <c r="L31" s="18" t="s">
        <v>480</v>
      </c>
      <c r="M31" s="25">
        <v>118.5</v>
      </c>
      <c r="N31" s="26">
        <v>0</v>
      </c>
      <c r="O31" s="25">
        <v>0</v>
      </c>
      <c r="P31" s="18" t="s">
        <v>470</v>
      </c>
    </row>
    <row r="32" spans="1:16" ht="15" customHeight="1" x14ac:dyDescent="0.45">
      <c r="A32" s="16" t="s">
        <v>527</v>
      </c>
      <c r="B32" s="16" t="s">
        <v>166</v>
      </c>
      <c r="C32" s="16" t="s">
        <v>167</v>
      </c>
      <c r="D32" s="16" t="s">
        <v>528</v>
      </c>
      <c r="E32" s="16" t="s">
        <v>419</v>
      </c>
      <c r="F32" s="16" t="s">
        <v>420</v>
      </c>
      <c r="G32" s="16"/>
      <c r="H32" s="21">
        <v>50</v>
      </c>
      <c r="I32" s="16" t="s">
        <v>160</v>
      </c>
      <c r="J32" s="16" t="s">
        <v>421</v>
      </c>
      <c r="K32" s="16" t="s">
        <v>529</v>
      </c>
      <c r="L32" s="16" t="s">
        <v>480</v>
      </c>
      <c r="M32" s="22">
        <v>7.4</v>
      </c>
      <c r="N32" s="23">
        <v>0</v>
      </c>
      <c r="O32" s="22">
        <v>0</v>
      </c>
      <c r="P32" s="16" t="s">
        <v>424</v>
      </c>
    </row>
    <row r="33" spans="1:16" ht="15" customHeight="1" x14ac:dyDescent="0.45">
      <c r="A33" s="18" t="s">
        <v>530</v>
      </c>
      <c r="B33" s="18" t="s">
        <v>166</v>
      </c>
      <c r="C33" s="18" t="s">
        <v>167</v>
      </c>
      <c r="D33" s="18" t="s">
        <v>531</v>
      </c>
      <c r="E33" s="18" t="s">
        <v>433</v>
      </c>
      <c r="F33" s="18" t="s">
        <v>532</v>
      </c>
      <c r="G33" s="18"/>
      <c r="H33" s="24">
        <v>150</v>
      </c>
      <c r="I33" s="18" t="s">
        <v>160</v>
      </c>
      <c r="J33" s="18" t="s">
        <v>421</v>
      </c>
      <c r="K33" s="18" t="s">
        <v>533</v>
      </c>
      <c r="L33" s="18" t="s">
        <v>423</v>
      </c>
      <c r="M33" s="25">
        <v>31.6</v>
      </c>
      <c r="N33" s="26">
        <v>0</v>
      </c>
      <c r="O33" s="25">
        <v>0</v>
      </c>
      <c r="P33" s="18" t="s">
        <v>424</v>
      </c>
    </row>
    <row r="34" spans="1:16" ht="15" customHeight="1" x14ac:dyDescent="0.45">
      <c r="A34" s="16" t="s">
        <v>534</v>
      </c>
      <c r="B34" s="16" t="s">
        <v>166</v>
      </c>
      <c r="C34" s="16" t="s">
        <v>167</v>
      </c>
      <c r="D34" s="16" t="s">
        <v>535</v>
      </c>
      <c r="E34" s="16" t="s">
        <v>419</v>
      </c>
      <c r="F34" s="16" t="s">
        <v>427</v>
      </c>
      <c r="G34" s="16"/>
      <c r="H34" s="21">
        <v>200</v>
      </c>
      <c r="I34" s="16" t="s">
        <v>160</v>
      </c>
      <c r="J34" s="16" t="s">
        <v>428</v>
      </c>
      <c r="K34" s="16" t="s">
        <v>349</v>
      </c>
      <c r="L34" s="16" t="s">
        <v>458</v>
      </c>
      <c r="M34" s="22">
        <v>7.7</v>
      </c>
      <c r="N34" s="23">
        <v>0.27</v>
      </c>
      <c r="O34" s="22">
        <v>21</v>
      </c>
      <c r="P34" s="16" t="s">
        <v>424</v>
      </c>
    </row>
    <row r="35" spans="1:16" ht="15" customHeight="1" x14ac:dyDescent="0.45">
      <c r="A35" s="18" t="s">
        <v>536</v>
      </c>
      <c r="B35" s="18" t="s">
        <v>171</v>
      </c>
      <c r="C35" s="18" t="s">
        <v>172</v>
      </c>
      <c r="D35" s="18" t="s">
        <v>537</v>
      </c>
      <c r="E35" s="18" t="s">
        <v>419</v>
      </c>
      <c r="F35" s="18" t="s">
        <v>420</v>
      </c>
      <c r="G35" s="18"/>
      <c r="H35" s="24">
        <v>500</v>
      </c>
      <c r="I35" s="18" t="s">
        <v>160</v>
      </c>
      <c r="J35" s="18" t="s">
        <v>428</v>
      </c>
      <c r="K35" s="18" t="s">
        <v>538</v>
      </c>
      <c r="L35" s="18" t="s">
        <v>430</v>
      </c>
      <c r="M35" s="25">
        <v>0.4</v>
      </c>
      <c r="N35" s="26">
        <v>0</v>
      </c>
      <c r="O35" s="25">
        <v>0</v>
      </c>
      <c r="P35" s="18" t="s">
        <v>424</v>
      </c>
    </row>
    <row r="36" spans="1:16" ht="15" customHeight="1" x14ac:dyDescent="0.45">
      <c r="A36" s="16" t="s">
        <v>539</v>
      </c>
      <c r="B36" s="16" t="s">
        <v>171</v>
      </c>
      <c r="C36" s="16" t="s">
        <v>172</v>
      </c>
      <c r="D36" s="16" t="s">
        <v>540</v>
      </c>
      <c r="E36" s="16" t="s">
        <v>433</v>
      </c>
      <c r="F36" s="16" t="s">
        <v>532</v>
      </c>
      <c r="G36" s="16"/>
      <c r="H36" s="21">
        <v>25</v>
      </c>
      <c r="I36" s="16" t="s">
        <v>160</v>
      </c>
      <c r="J36" s="16" t="s">
        <v>421</v>
      </c>
      <c r="K36" s="16" t="s">
        <v>541</v>
      </c>
      <c r="L36" s="16" t="s">
        <v>423</v>
      </c>
      <c r="M36" s="22">
        <v>26.8</v>
      </c>
      <c r="N36" s="23">
        <v>0</v>
      </c>
      <c r="O36" s="22">
        <v>0</v>
      </c>
      <c r="P36" s="16" t="s">
        <v>424</v>
      </c>
    </row>
    <row r="37" spans="1:16" ht="15" customHeight="1" x14ac:dyDescent="0.45">
      <c r="A37" s="18" t="s">
        <v>542</v>
      </c>
      <c r="B37" s="18" t="s">
        <v>171</v>
      </c>
      <c r="C37" s="18" t="s">
        <v>172</v>
      </c>
      <c r="D37" s="18" t="s">
        <v>543</v>
      </c>
      <c r="E37" s="18" t="s">
        <v>433</v>
      </c>
      <c r="F37" s="18" t="s">
        <v>494</v>
      </c>
      <c r="G37" s="18"/>
      <c r="H37" s="24">
        <v>100</v>
      </c>
      <c r="I37" s="18" t="s">
        <v>160</v>
      </c>
      <c r="J37" s="18" t="s">
        <v>421</v>
      </c>
      <c r="K37" s="18" t="s">
        <v>544</v>
      </c>
      <c r="L37" s="18" t="s">
        <v>458</v>
      </c>
      <c r="M37" s="25">
        <v>117.2</v>
      </c>
      <c r="N37" s="26">
        <v>0</v>
      </c>
      <c r="O37" s="25">
        <v>0</v>
      </c>
      <c r="P37" s="18" t="s">
        <v>424</v>
      </c>
    </row>
    <row r="38" spans="1:16" ht="15" customHeight="1" x14ac:dyDescent="0.45">
      <c r="A38" s="16" t="s">
        <v>545</v>
      </c>
      <c r="B38" s="16" t="s">
        <v>171</v>
      </c>
      <c r="C38" s="16" t="s">
        <v>172</v>
      </c>
      <c r="D38" s="16" t="s">
        <v>317</v>
      </c>
      <c r="E38" s="16" t="s">
        <v>439</v>
      </c>
      <c r="F38" s="16" t="s">
        <v>488</v>
      </c>
      <c r="G38" s="16" t="s">
        <v>546</v>
      </c>
      <c r="H38" s="21">
        <v>100</v>
      </c>
      <c r="I38" s="16" t="s">
        <v>490</v>
      </c>
      <c r="J38" s="16" t="s">
        <v>428</v>
      </c>
      <c r="K38" s="16" t="s">
        <v>547</v>
      </c>
      <c r="L38" s="16" t="s">
        <v>423</v>
      </c>
      <c r="M38" s="22">
        <v>1.6</v>
      </c>
      <c r="N38" s="23">
        <v>0.4</v>
      </c>
      <c r="O38" s="22">
        <v>0</v>
      </c>
      <c r="P38" s="16" t="s">
        <v>436</v>
      </c>
    </row>
    <row r="39" spans="1:16" ht="15" customHeight="1" x14ac:dyDescent="0.45">
      <c r="A39" s="18" t="s">
        <v>548</v>
      </c>
      <c r="B39" s="18" t="s">
        <v>171</v>
      </c>
      <c r="C39" s="18" t="s">
        <v>172</v>
      </c>
      <c r="D39" s="18" t="s">
        <v>549</v>
      </c>
      <c r="E39" s="18" t="s">
        <v>433</v>
      </c>
      <c r="F39" s="18" t="s">
        <v>532</v>
      </c>
      <c r="G39" s="18"/>
      <c r="H39" s="24">
        <v>150</v>
      </c>
      <c r="I39" s="18" t="s">
        <v>160</v>
      </c>
      <c r="J39" s="18" t="s">
        <v>421</v>
      </c>
      <c r="K39" s="18" t="s">
        <v>550</v>
      </c>
      <c r="L39" s="18" t="s">
        <v>423</v>
      </c>
      <c r="M39" s="25">
        <v>104.8</v>
      </c>
      <c r="N39" s="26">
        <v>0</v>
      </c>
      <c r="O39" s="25">
        <v>0</v>
      </c>
      <c r="P39" s="18" t="s">
        <v>424</v>
      </c>
    </row>
    <row r="40" spans="1:16" ht="15" customHeight="1" x14ac:dyDescent="0.45">
      <c r="A40" s="16" t="s">
        <v>551</v>
      </c>
      <c r="B40" s="16" t="s">
        <v>171</v>
      </c>
      <c r="C40" s="16" t="s">
        <v>172</v>
      </c>
      <c r="D40" s="16" t="s">
        <v>552</v>
      </c>
      <c r="E40" s="16" t="s">
        <v>419</v>
      </c>
      <c r="F40" s="16" t="s">
        <v>420</v>
      </c>
      <c r="G40" s="16"/>
      <c r="H40" s="21">
        <v>50</v>
      </c>
      <c r="I40" s="16" t="s">
        <v>160</v>
      </c>
      <c r="J40" s="16" t="s">
        <v>428</v>
      </c>
      <c r="K40" s="16" t="s">
        <v>553</v>
      </c>
      <c r="L40" s="16" t="s">
        <v>480</v>
      </c>
      <c r="M40" s="22">
        <v>9.6999999999999993</v>
      </c>
      <c r="N40" s="23">
        <v>0</v>
      </c>
      <c r="O40" s="22">
        <v>0</v>
      </c>
      <c r="P40" s="16" t="s">
        <v>424</v>
      </c>
    </row>
    <row r="41" spans="1:16" ht="15" customHeight="1" x14ac:dyDescent="0.45">
      <c r="A41" s="18" t="s">
        <v>554</v>
      </c>
      <c r="B41" s="18" t="s">
        <v>179</v>
      </c>
      <c r="C41" s="18" t="s">
        <v>180</v>
      </c>
      <c r="D41" s="18" t="s">
        <v>555</v>
      </c>
      <c r="E41" s="18" t="s">
        <v>419</v>
      </c>
      <c r="F41" s="18" t="s">
        <v>427</v>
      </c>
      <c r="G41" s="18"/>
      <c r="H41" s="24">
        <v>25</v>
      </c>
      <c r="I41" s="18" t="s">
        <v>160</v>
      </c>
      <c r="J41" s="18" t="s">
        <v>428</v>
      </c>
      <c r="K41" s="18" t="s">
        <v>556</v>
      </c>
      <c r="L41" s="18" t="s">
        <v>423</v>
      </c>
      <c r="M41" s="25">
        <v>1.2</v>
      </c>
      <c r="N41" s="26">
        <v>0.94</v>
      </c>
      <c r="O41" s="25">
        <v>14.3</v>
      </c>
      <c r="P41" s="18" t="s">
        <v>424</v>
      </c>
    </row>
    <row r="42" spans="1:16" ht="15" customHeight="1" x14ac:dyDescent="0.45">
      <c r="A42" s="16" t="s">
        <v>557</v>
      </c>
      <c r="B42" s="16" t="s">
        <v>179</v>
      </c>
      <c r="C42" s="16" t="s">
        <v>180</v>
      </c>
      <c r="D42" s="16" t="s">
        <v>558</v>
      </c>
      <c r="E42" s="16" t="s">
        <v>439</v>
      </c>
      <c r="F42" s="16" t="s">
        <v>440</v>
      </c>
      <c r="G42" s="16" t="s">
        <v>489</v>
      </c>
      <c r="H42" s="21">
        <v>250</v>
      </c>
      <c r="I42" s="16" t="s">
        <v>490</v>
      </c>
      <c r="J42" s="16" t="s">
        <v>421</v>
      </c>
      <c r="K42" s="16" t="s">
        <v>559</v>
      </c>
      <c r="L42" s="16" t="s">
        <v>480</v>
      </c>
      <c r="M42" s="22">
        <v>9.8000000000000007</v>
      </c>
      <c r="N42" s="23">
        <v>-0.77</v>
      </c>
      <c r="O42" s="22">
        <v>72</v>
      </c>
      <c r="P42" s="16" t="s">
        <v>424</v>
      </c>
    </row>
    <row r="43" spans="1:16" ht="15" customHeight="1" x14ac:dyDescent="0.45">
      <c r="A43" s="18" t="s">
        <v>560</v>
      </c>
      <c r="B43" s="18" t="s">
        <v>179</v>
      </c>
      <c r="C43" s="18" t="s">
        <v>180</v>
      </c>
      <c r="D43" s="18" t="s">
        <v>561</v>
      </c>
      <c r="E43" s="18" t="s">
        <v>439</v>
      </c>
      <c r="F43" s="18" t="s">
        <v>440</v>
      </c>
      <c r="G43" s="18" t="s">
        <v>546</v>
      </c>
      <c r="H43" s="24">
        <v>100</v>
      </c>
      <c r="I43" s="18" t="s">
        <v>490</v>
      </c>
      <c r="J43" s="18" t="s">
        <v>428</v>
      </c>
      <c r="K43" s="18" t="s">
        <v>562</v>
      </c>
      <c r="L43" s="18" t="s">
        <v>423</v>
      </c>
      <c r="M43" s="25">
        <v>4.3</v>
      </c>
      <c r="N43" s="26">
        <v>0.9</v>
      </c>
      <c r="O43" s="25">
        <v>73.7</v>
      </c>
      <c r="P43" s="18" t="s">
        <v>470</v>
      </c>
    </row>
    <row r="44" spans="1:16" ht="15" customHeight="1" x14ac:dyDescent="0.45">
      <c r="A44" s="16" t="s">
        <v>563</v>
      </c>
      <c r="B44" s="16" t="s">
        <v>179</v>
      </c>
      <c r="C44" s="16" t="s">
        <v>180</v>
      </c>
      <c r="D44" s="16" t="s">
        <v>564</v>
      </c>
      <c r="E44" s="16" t="s">
        <v>419</v>
      </c>
      <c r="F44" s="16" t="s">
        <v>427</v>
      </c>
      <c r="G44" s="16"/>
      <c r="H44" s="21">
        <v>200</v>
      </c>
      <c r="I44" s="16" t="s">
        <v>160</v>
      </c>
      <c r="J44" s="16" t="s">
        <v>428</v>
      </c>
      <c r="K44" s="16" t="s">
        <v>565</v>
      </c>
      <c r="L44" s="16" t="s">
        <v>458</v>
      </c>
      <c r="M44" s="22">
        <v>4</v>
      </c>
      <c r="N44" s="23">
        <v>-0.41</v>
      </c>
      <c r="O44" s="22">
        <v>10.199999999999999</v>
      </c>
      <c r="P44" s="16" t="s">
        <v>436</v>
      </c>
    </row>
    <row r="45" spans="1:16" ht="15" customHeight="1" x14ac:dyDescent="0.45">
      <c r="A45" s="18" t="s">
        <v>566</v>
      </c>
      <c r="B45" s="18" t="s">
        <v>179</v>
      </c>
      <c r="C45" s="18" t="s">
        <v>180</v>
      </c>
      <c r="D45" s="18" t="s">
        <v>567</v>
      </c>
      <c r="E45" s="18" t="s">
        <v>419</v>
      </c>
      <c r="F45" s="18" t="s">
        <v>420</v>
      </c>
      <c r="G45" s="18"/>
      <c r="H45" s="24">
        <v>250</v>
      </c>
      <c r="I45" s="18" t="s">
        <v>160</v>
      </c>
      <c r="J45" s="18" t="s">
        <v>421</v>
      </c>
      <c r="K45" s="18" t="s">
        <v>568</v>
      </c>
      <c r="L45" s="18" t="s">
        <v>480</v>
      </c>
      <c r="M45" s="25">
        <v>5.5</v>
      </c>
      <c r="N45" s="26">
        <v>0</v>
      </c>
      <c r="O45" s="25">
        <v>0</v>
      </c>
      <c r="P45" s="18" t="s">
        <v>424</v>
      </c>
    </row>
    <row r="46" spans="1:16" ht="15" customHeight="1" x14ac:dyDescent="0.45">
      <c r="A46" s="16" t="s">
        <v>569</v>
      </c>
      <c r="B46" s="16" t="s">
        <v>179</v>
      </c>
      <c r="C46" s="16" t="s">
        <v>180</v>
      </c>
      <c r="D46" s="16" t="s">
        <v>238</v>
      </c>
      <c r="E46" s="16" t="s">
        <v>433</v>
      </c>
      <c r="F46" s="16" t="s">
        <v>532</v>
      </c>
      <c r="G46" s="16"/>
      <c r="H46" s="21">
        <v>200</v>
      </c>
      <c r="I46" s="16" t="s">
        <v>160</v>
      </c>
      <c r="J46" s="16" t="s">
        <v>421</v>
      </c>
      <c r="K46" s="16" t="s">
        <v>570</v>
      </c>
      <c r="L46" s="16" t="s">
        <v>458</v>
      </c>
      <c r="M46" s="22">
        <v>54.2</v>
      </c>
      <c r="N46" s="23">
        <v>0</v>
      </c>
      <c r="O46" s="22">
        <v>0</v>
      </c>
      <c r="P46" s="16" t="s">
        <v>470</v>
      </c>
    </row>
    <row r="47" spans="1:16" ht="15" customHeight="1" x14ac:dyDescent="0.45">
      <c r="A47" s="18" t="s">
        <v>571</v>
      </c>
      <c r="B47" s="18" t="s">
        <v>184</v>
      </c>
      <c r="C47" s="18" t="s">
        <v>185</v>
      </c>
      <c r="D47" s="18" t="s">
        <v>296</v>
      </c>
      <c r="E47" s="18" t="s">
        <v>419</v>
      </c>
      <c r="F47" s="18" t="s">
        <v>420</v>
      </c>
      <c r="G47" s="18"/>
      <c r="H47" s="24">
        <v>500</v>
      </c>
      <c r="I47" s="18" t="s">
        <v>160</v>
      </c>
      <c r="J47" s="18" t="s">
        <v>428</v>
      </c>
      <c r="K47" s="18" t="s">
        <v>572</v>
      </c>
      <c r="L47" s="18" t="s">
        <v>423</v>
      </c>
      <c r="M47" s="25">
        <v>6.6</v>
      </c>
      <c r="N47" s="26">
        <v>0</v>
      </c>
      <c r="O47" s="25">
        <v>0</v>
      </c>
      <c r="P47" s="18" t="s">
        <v>424</v>
      </c>
    </row>
    <row r="48" spans="1:16" ht="15" customHeight="1" x14ac:dyDescent="0.45">
      <c r="A48" s="16" t="s">
        <v>573</v>
      </c>
      <c r="B48" s="16" t="s">
        <v>184</v>
      </c>
      <c r="C48" s="16" t="s">
        <v>185</v>
      </c>
      <c r="D48" s="16" t="s">
        <v>574</v>
      </c>
      <c r="E48" s="16" t="s">
        <v>439</v>
      </c>
      <c r="F48" s="16" t="s">
        <v>575</v>
      </c>
      <c r="G48" s="16" t="s">
        <v>435</v>
      </c>
      <c r="H48" s="21">
        <v>25</v>
      </c>
      <c r="I48" s="16" t="s">
        <v>160</v>
      </c>
      <c r="J48" s="16" t="s">
        <v>421</v>
      </c>
      <c r="K48" s="16" t="s">
        <v>576</v>
      </c>
      <c r="L48" s="16" t="s">
        <v>458</v>
      </c>
      <c r="M48" s="22">
        <v>2.4</v>
      </c>
      <c r="N48" s="23">
        <v>-0.05</v>
      </c>
      <c r="O48" s="22">
        <v>0</v>
      </c>
      <c r="P48" s="16" t="s">
        <v>424</v>
      </c>
    </row>
    <row r="49" spans="1:16" ht="15" customHeight="1" x14ac:dyDescent="0.45">
      <c r="A49" s="18" t="s">
        <v>577</v>
      </c>
      <c r="B49" s="18" t="s">
        <v>184</v>
      </c>
      <c r="C49" s="18" t="s">
        <v>185</v>
      </c>
      <c r="D49" s="18" t="s">
        <v>531</v>
      </c>
      <c r="E49" s="18" t="s">
        <v>433</v>
      </c>
      <c r="F49" s="18" t="s">
        <v>532</v>
      </c>
      <c r="G49" s="18"/>
      <c r="H49" s="24">
        <v>300</v>
      </c>
      <c r="I49" s="18" t="s">
        <v>160</v>
      </c>
      <c r="J49" s="18" t="s">
        <v>421</v>
      </c>
      <c r="K49" s="18" t="s">
        <v>578</v>
      </c>
      <c r="L49" s="18" t="s">
        <v>423</v>
      </c>
      <c r="M49" s="25">
        <v>19.399999999999999</v>
      </c>
      <c r="N49" s="26">
        <v>0</v>
      </c>
      <c r="O49" s="25">
        <v>0</v>
      </c>
      <c r="P49" s="18" t="s">
        <v>436</v>
      </c>
    </row>
    <row r="50" spans="1:16" ht="15" customHeight="1" x14ac:dyDescent="0.45">
      <c r="A50" s="16" t="s">
        <v>579</v>
      </c>
      <c r="B50" s="16" t="s">
        <v>184</v>
      </c>
      <c r="C50" s="16" t="s">
        <v>185</v>
      </c>
      <c r="D50" s="16" t="s">
        <v>580</v>
      </c>
      <c r="E50" s="16" t="s">
        <v>433</v>
      </c>
      <c r="F50" s="16" t="s">
        <v>532</v>
      </c>
      <c r="G50" s="16" t="s">
        <v>435</v>
      </c>
      <c r="H50" s="21">
        <v>300</v>
      </c>
      <c r="I50" s="16" t="s">
        <v>160</v>
      </c>
      <c r="J50" s="16" t="s">
        <v>421</v>
      </c>
      <c r="K50" s="16" t="s">
        <v>581</v>
      </c>
      <c r="L50" s="16" t="s">
        <v>458</v>
      </c>
      <c r="M50" s="22">
        <v>31.4</v>
      </c>
      <c r="N50" s="23">
        <v>0</v>
      </c>
      <c r="O50" s="22">
        <v>0</v>
      </c>
      <c r="P50" s="16" t="s">
        <v>470</v>
      </c>
    </row>
    <row r="51" spans="1:16" ht="15" customHeight="1" x14ac:dyDescent="0.45">
      <c r="A51" s="18" t="s">
        <v>582</v>
      </c>
      <c r="B51" s="18" t="s">
        <v>184</v>
      </c>
      <c r="C51" s="18" t="s">
        <v>185</v>
      </c>
      <c r="D51" s="18" t="s">
        <v>343</v>
      </c>
      <c r="E51" s="18" t="s">
        <v>439</v>
      </c>
      <c r="F51" s="18" t="s">
        <v>440</v>
      </c>
      <c r="G51" s="18" t="s">
        <v>583</v>
      </c>
      <c r="H51" s="24">
        <v>200</v>
      </c>
      <c r="I51" s="18" t="s">
        <v>160</v>
      </c>
      <c r="J51" s="18" t="s">
        <v>428</v>
      </c>
      <c r="K51" s="18" t="s">
        <v>584</v>
      </c>
      <c r="L51" s="18" t="s">
        <v>430</v>
      </c>
      <c r="M51" s="25">
        <v>6.1</v>
      </c>
      <c r="N51" s="26">
        <v>0.44</v>
      </c>
      <c r="O51" s="25">
        <v>40.4</v>
      </c>
      <c r="P51" s="18" t="s">
        <v>470</v>
      </c>
    </row>
    <row r="52" spans="1:16" ht="15" customHeight="1" x14ac:dyDescent="0.45">
      <c r="A52" s="16" t="s">
        <v>585</v>
      </c>
      <c r="B52" s="16" t="s">
        <v>184</v>
      </c>
      <c r="C52" s="16" t="s">
        <v>185</v>
      </c>
      <c r="D52" s="16" t="s">
        <v>586</v>
      </c>
      <c r="E52" s="16" t="s">
        <v>419</v>
      </c>
      <c r="F52" s="16" t="s">
        <v>427</v>
      </c>
      <c r="G52" s="16"/>
      <c r="H52" s="21">
        <v>150</v>
      </c>
      <c r="I52" s="16" t="s">
        <v>160</v>
      </c>
      <c r="J52" s="16" t="s">
        <v>428</v>
      </c>
      <c r="K52" s="16" t="s">
        <v>587</v>
      </c>
      <c r="L52" s="16" t="s">
        <v>458</v>
      </c>
      <c r="M52" s="22">
        <v>7.7</v>
      </c>
      <c r="N52" s="23">
        <v>0.04</v>
      </c>
      <c r="O52" s="22">
        <v>50.1</v>
      </c>
      <c r="P52" s="16" t="s">
        <v>424</v>
      </c>
    </row>
    <row r="53" spans="1:16" ht="15" customHeight="1" x14ac:dyDescent="0.45">
      <c r="A53" s="18" t="s">
        <v>588</v>
      </c>
      <c r="B53" s="18" t="s">
        <v>190</v>
      </c>
      <c r="C53" s="18" t="s">
        <v>191</v>
      </c>
      <c r="D53" s="18" t="s">
        <v>589</v>
      </c>
      <c r="E53" s="18" t="s">
        <v>439</v>
      </c>
      <c r="F53" s="18" t="s">
        <v>575</v>
      </c>
      <c r="G53" s="18" t="s">
        <v>489</v>
      </c>
      <c r="H53" s="24">
        <v>200</v>
      </c>
      <c r="I53" s="18" t="s">
        <v>490</v>
      </c>
      <c r="J53" s="18" t="s">
        <v>428</v>
      </c>
      <c r="K53" s="18" t="s">
        <v>590</v>
      </c>
      <c r="L53" s="18" t="s">
        <v>430</v>
      </c>
      <c r="M53" s="25">
        <v>0.8</v>
      </c>
      <c r="N53" s="26">
        <v>-0.7</v>
      </c>
      <c r="O53" s="25">
        <v>0</v>
      </c>
      <c r="P53" s="18" t="s">
        <v>424</v>
      </c>
    </row>
    <row r="54" spans="1:16" ht="15" customHeight="1" x14ac:dyDescent="0.45">
      <c r="A54" s="16" t="s">
        <v>591</v>
      </c>
      <c r="B54" s="16" t="s">
        <v>190</v>
      </c>
      <c r="C54" s="16" t="s">
        <v>191</v>
      </c>
      <c r="D54" s="16" t="s">
        <v>592</v>
      </c>
      <c r="E54" s="16" t="s">
        <v>419</v>
      </c>
      <c r="F54" s="16" t="s">
        <v>420</v>
      </c>
      <c r="G54" s="16"/>
      <c r="H54" s="21">
        <v>200</v>
      </c>
      <c r="I54" s="16" t="s">
        <v>160</v>
      </c>
      <c r="J54" s="16" t="s">
        <v>428</v>
      </c>
      <c r="K54" s="16" t="s">
        <v>593</v>
      </c>
      <c r="L54" s="16" t="s">
        <v>423</v>
      </c>
      <c r="M54" s="22">
        <v>5.4</v>
      </c>
      <c r="N54" s="23">
        <v>0</v>
      </c>
      <c r="O54" s="22">
        <v>0</v>
      </c>
      <c r="P54" s="16" t="s">
        <v>436</v>
      </c>
    </row>
    <row r="55" spans="1:16" ht="15" customHeight="1" x14ac:dyDescent="0.45">
      <c r="A55" s="18" t="s">
        <v>594</v>
      </c>
      <c r="B55" s="18" t="s">
        <v>190</v>
      </c>
      <c r="C55" s="18" t="s">
        <v>191</v>
      </c>
      <c r="D55" s="18" t="s">
        <v>249</v>
      </c>
      <c r="E55" s="18" t="s">
        <v>439</v>
      </c>
      <c r="F55" s="18" t="s">
        <v>440</v>
      </c>
      <c r="G55" s="18" t="s">
        <v>583</v>
      </c>
      <c r="H55" s="24">
        <v>250</v>
      </c>
      <c r="I55" s="18" t="s">
        <v>160</v>
      </c>
      <c r="J55" s="18" t="s">
        <v>428</v>
      </c>
      <c r="K55" s="18" t="s">
        <v>595</v>
      </c>
      <c r="L55" s="18" t="s">
        <v>430</v>
      </c>
      <c r="M55" s="25">
        <v>0.1</v>
      </c>
      <c r="N55" s="26">
        <v>-0.3</v>
      </c>
      <c r="O55" s="25">
        <v>60.3</v>
      </c>
      <c r="P55" s="18" t="s">
        <v>424</v>
      </c>
    </row>
    <row r="56" spans="1:16" ht="15" customHeight="1" x14ac:dyDescent="0.45">
      <c r="A56" s="16" t="s">
        <v>596</v>
      </c>
      <c r="B56" s="16" t="s">
        <v>190</v>
      </c>
      <c r="C56" s="16" t="s">
        <v>191</v>
      </c>
      <c r="D56" s="16" t="s">
        <v>597</v>
      </c>
      <c r="E56" s="16" t="s">
        <v>433</v>
      </c>
      <c r="F56" s="16" t="s">
        <v>532</v>
      </c>
      <c r="G56" s="16"/>
      <c r="H56" s="21">
        <v>25</v>
      </c>
      <c r="I56" s="16" t="s">
        <v>160</v>
      </c>
      <c r="J56" s="16" t="s">
        <v>428</v>
      </c>
      <c r="K56" s="16" t="s">
        <v>598</v>
      </c>
      <c r="L56" s="16" t="s">
        <v>430</v>
      </c>
      <c r="M56" s="22">
        <v>80.900000000000006</v>
      </c>
      <c r="N56" s="23">
        <v>0</v>
      </c>
      <c r="O56" s="22">
        <v>0</v>
      </c>
      <c r="P56" s="16" t="s">
        <v>436</v>
      </c>
    </row>
    <row r="57" spans="1:16" ht="15" customHeight="1" x14ac:dyDescent="0.45">
      <c r="A57" s="18" t="s">
        <v>599</v>
      </c>
      <c r="B57" s="18" t="s">
        <v>190</v>
      </c>
      <c r="C57" s="18" t="s">
        <v>191</v>
      </c>
      <c r="D57" s="18" t="s">
        <v>255</v>
      </c>
      <c r="E57" s="18" t="s">
        <v>433</v>
      </c>
      <c r="F57" s="18" t="s">
        <v>532</v>
      </c>
      <c r="G57" s="18"/>
      <c r="H57" s="24">
        <v>250</v>
      </c>
      <c r="I57" s="18" t="s">
        <v>160</v>
      </c>
      <c r="J57" s="18" t="s">
        <v>421</v>
      </c>
      <c r="K57" s="18" t="s">
        <v>600</v>
      </c>
      <c r="L57" s="18" t="s">
        <v>458</v>
      </c>
      <c r="M57" s="25">
        <v>80.2</v>
      </c>
      <c r="N57" s="26">
        <v>0</v>
      </c>
      <c r="O57" s="25">
        <v>0</v>
      </c>
      <c r="P57" s="18" t="s">
        <v>424</v>
      </c>
    </row>
    <row r="58" spans="1:16" ht="15" customHeight="1" x14ac:dyDescent="0.45">
      <c r="A58" s="16" t="s">
        <v>601</v>
      </c>
      <c r="B58" s="16" t="s">
        <v>190</v>
      </c>
      <c r="C58" s="16" t="s">
        <v>191</v>
      </c>
      <c r="D58" s="16" t="s">
        <v>602</v>
      </c>
      <c r="E58" s="16" t="s">
        <v>439</v>
      </c>
      <c r="F58" s="16" t="s">
        <v>440</v>
      </c>
      <c r="G58" s="16" t="s">
        <v>546</v>
      </c>
      <c r="H58" s="21">
        <v>250</v>
      </c>
      <c r="I58" s="16" t="s">
        <v>490</v>
      </c>
      <c r="J58" s="16" t="s">
        <v>428</v>
      </c>
      <c r="K58" s="16" t="s">
        <v>450</v>
      </c>
      <c r="L58" s="16" t="s">
        <v>480</v>
      </c>
      <c r="M58" s="22">
        <v>2.1</v>
      </c>
      <c r="N58" s="23">
        <v>-0.35</v>
      </c>
      <c r="O58" s="22">
        <v>60.9</v>
      </c>
      <c r="P58" s="16" t="s">
        <v>424</v>
      </c>
    </row>
    <row r="59" spans="1:16" ht="15" customHeight="1" x14ac:dyDescent="0.45">
      <c r="A59" s="18" t="s">
        <v>603</v>
      </c>
      <c r="B59" s="18" t="s">
        <v>190</v>
      </c>
      <c r="C59" s="18" t="s">
        <v>191</v>
      </c>
      <c r="D59" s="18" t="s">
        <v>604</v>
      </c>
      <c r="E59" s="18" t="s">
        <v>433</v>
      </c>
      <c r="F59" s="18" t="s">
        <v>434</v>
      </c>
      <c r="G59" s="18" t="s">
        <v>435</v>
      </c>
      <c r="H59" s="24">
        <v>500</v>
      </c>
      <c r="I59" s="18" t="s">
        <v>160</v>
      </c>
      <c r="J59" s="18" t="s">
        <v>421</v>
      </c>
      <c r="K59" s="18" t="s">
        <v>605</v>
      </c>
      <c r="L59" s="18" t="s">
        <v>423</v>
      </c>
      <c r="M59" s="25">
        <v>114.3</v>
      </c>
      <c r="N59" s="26">
        <v>0</v>
      </c>
      <c r="O59" s="25">
        <v>0</v>
      </c>
      <c r="P59" s="18" t="s">
        <v>424</v>
      </c>
    </row>
    <row r="60" spans="1:16" ht="15" customHeight="1" x14ac:dyDescent="0.45">
      <c r="A60" s="16" t="s">
        <v>606</v>
      </c>
      <c r="B60" s="16" t="s">
        <v>190</v>
      </c>
      <c r="C60" s="16" t="s">
        <v>191</v>
      </c>
      <c r="D60" s="16" t="s">
        <v>607</v>
      </c>
      <c r="E60" s="16" t="s">
        <v>419</v>
      </c>
      <c r="F60" s="16" t="s">
        <v>420</v>
      </c>
      <c r="G60" s="16"/>
      <c r="H60" s="21">
        <v>25</v>
      </c>
      <c r="I60" s="16" t="s">
        <v>160</v>
      </c>
      <c r="J60" s="16" t="s">
        <v>421</v>
      </c>
      <c r="K60" s="16" t="s">
        <v>608</v>
      </c>
      <c r="L60" s="16" t="s">
        <v>430</v>
      </c>
      <c r="M60" s="22">
        <v>6.2</v>
      </c>
      <c r="N60" s="23">
        <v>0</v>
      </c>
      <c r="O60" s="22">
        <v>0</v>
      </c>
      <c r="P60" s="16" t="s">
        <v>424</v>
      </c>
    </row>
    <row r="61" spans="1:16" ht="25.5" x14ac:dyDescent="0.45">
      <c r="A61" s="3" t="s">
        <v>609</v>
      </c>
      <c r="B61" s="3" t="s">
        <v>197</v>
      </c>
      <c r="C61" s="3" t="s">
        <v>198</v>
      </c>
      <c r="D61" s="3" t="s">
        <v>610</v>
      </c>
      <c r="E61" s="3" t="s">
        <v>433</v>
      </c>
      <c r="F61" s="3" t="s">
        <v>611</v>
      </c>
      <c r="G61" s="3"/>
      <c r="H61" s="3" t="s">
        <v>612</v>
      </c>
      <c r="I61" s="3" t="s">
        <v>160</v>
      </c>
      <c r="J61" s="3" t="s">
        <v>421</v>
      </c>
      <c r="K61" s="3" t="s">
        <v>613</v>
      </c>
      <c r="L61" s="3" t="s">
        <v>423</v>
      </c>
      <c r="M61" s="3" t="s">
        <v>614</v>
      </c>
      <c r="N61" s="3" t="s">
        <v>615</v>
      </c>
      <c r="O61" s="3" t="s">
        <v>615</v>
      </c>
      <c r="P61" s="3" t="s">
        <v>424</v>
      </c>
    </row>
    <row r="62" spans="1:16" x14ac:dyDescent="0.45">
      <c r="A62" s="20" t="s">
        <v>616</v>
      </c>
      <c r="B62" s="20" t="s">
        <v>197</v>
      </c>
      <c r="C62" s="20" t="s">
        <v>198</v>
      </c>
      <c r="D62" s="20" t="s">
        <v>617</v>
      </c>
      <c r="E62" s="20" t="s">
        <v>439</v>
      </c>
      <c r="F62" s="20" t="s">
        <v>488</v>
      </c>
      <c r="G62" s="20" t="s">
        <v>435</v>
      </c>
      <c r="H62" s="20" t="s">
        <v>618</v>
      </c>
      <c r="I62" s="20" t="s">
        <v>160</v>
      </c>
      <c r="J62" s="20" t="s">
        <v>428</v>
      </c>
      <c r="K62" s="20" t="s">
        <v>619</v>
      </c>
      <c r="L62" s="20" t="s">
        <v>430</v>
      </c>
      <c r="M62" s="20" t="s">
        <v>615</v>
      </c>
      <c r="N62" s="20" t="s">
        <v>620</v>
      </c>
      <c r="O62" s="20" t="s">
        <v>615</v>
      </c>
      <c r="P62" s="20" t="s">
        <v>424</v>
      </c>
    </row>
    <row r="63" spans="1:16" x14ac:dyDescent="0.45">
      <c r="A63" s="3" t="s">
        <v>621</v>
      </c>
      <c r="B63" s="3" t="s">
        <v>197</v>
      </c>
      <c r="C63" s="3" t="s">
        <v>198</v>
      </c>
      <c r="D63" s="3" t="s">
        <v>622</v>
      </c>
      <c r="E63" s="3" t="s">
        <v>419</v>
      </c>
      <c r="F63" s="3" t="s">
        <v>623</v>
      </c>
      <c r="G63" s="3"/>
      <c r="H63" s="3" t="s">
        <v>624</v>
      </c>
      <c r="I63" s="3" t="s">
        <v>160</v>
      </c>
      <c r="J63" s="3" t="s">
        <v>421</v>
      </c>
      <c r="K63" s="3" t="s">
        <v>625</v>
      </c>
      <c r="L63" s="3" t="s">
        <v>480</v>
      </c>
      <c r="M63" s="3" t="s">
        <v>626</v>
      </c>
      <c r="N63" s="3" t="s">
        <v>615</v>
      </c>
      <c r="O63" s="3" t="s">
        <v>615</v>
      </c>
      <c r="P63" s="3" t="s">
        <v>424</v>
      </c>
    </row>
    <row r="64" spans="1:16" ht="25.5" x14ac:dyDescent="0.45">
      <c r="A64" s="20" t="s">
        <v>627</v>
      </c>
      <c r="B64" s="20" t="s">
        <v>197</v>
      </c>
      <c r="C64" s="20" t="s">
        <v>198</v>
      </c>
      <c r="D64" s="20" t="s">
        <v>453</v>
      </c>
      <c r="E64" s="20" t="s">
        <v>433</v>
      </c>
      <c r="F64" s="20" t="s">
        <v>532</v>
      </c>
      <c r="G64" s="20" t="s">
        <v>435</v>
      </c>
      <c r="H64" s="20" t="s">
        <v>628</v>
      </c>
      <c r="I64" s="20" t="s">
        <v>160</v>
      </c>
      <c r="J64" s="20" t="s">
        <v>421</v>
      </c>
      <c r="K64" s="20" t="s">
        <v>629</v>
      </c>
      <c r="L64" s="20" t="s">
        <v>423</v>
      </c>
      <c r="M64" s="20" t="s">
        <v>630</v>
      </c>
      <c r="N64" s="20" t="s">
        <v>615</v>
      </c>
      <c r="O64" s="20" t="s">
        <v>615</v>
      </c>
      <c r="P64" s="20" t="s">
        <v>424</v>
      </c>
    </row>
    <row r="65" spans="1:16" x14ac:dyDescent="0.45">
      <c r="A65" s="3" t="s">
        <v>631</v>
      </c>
      <c r="B65" s="3" t="s">
        <v>204</v>
      </c>
      <c r="C65" s="3" t="s">
        <v>153</v>
      </c>
      <c r="D65" s="3" t="s">
        <v>632</v>
      </c>
      <c r="E65" s="3" t="s">
        <v>439</v>
      </c>
      <c r="F65" s="3" t="s">
        <v>488</v>
      </c>
      <c r="G65" s="3" t="s">
        <v>435</v>
      </c>
      <c r="H65" s="3" t="s">
        <v>633</v>
      </c>
      <c r="I65" s="3" t="s">
        <v>490</v>
      </c>
      <c r="J65" s="3" t="s">
        <v>428</v>
      </c>
      <c r="K65" s="3" t="s">
        <v>634</v>
      </c>
      <c r="L65" s="3" t="s">
        <v>423</v>
      </c>
      <c r="M65" s="3" t="s">
        <v>615</v>
      </c>
      <c r="N65" s="3" t="s">
        <v>635</v>
      </c>
      <c r="O65" s="3" t="s">
        <v>615</v>
      </c>
      <c r="P65" s="3" t="s">
        <v>424</v>
      </c>
    </row>
    <row r="66" spans="1:16" x14ac:dyDescent="0.45">
      <c r="A66" s="20" t="s">
        <v>636</v>
      </c>
      <c r="B66" s="20" t="s">
        <v>204</v>
      </c>
      <c r="C66" s="20" t="s">
        <v>153</v>
      </c>
      <c r="D66" s="20" t="s">
        <v>637</v>
      </c>
      <c r="E66" s="20" t="s">
        <v>439</v>
      </c>
      <c r="F66" s="20" t="s">
        <v>440</v>
      </c>
      <c r="G66" s="20" t="s">
        <v>435</v>
      </c>
      <c r="H66" s="20" t="s">
        <v>612</v>
      </c>
      <c r="I66" s="20" t="s">
        <v>490</v>
      </c>
      <c r="J66" s="20" t="s">
        <v>421</v>
      </c>
      <c r="K66" s="20" t="s">
        <v>638</v>
      </c>
      <c r="L66" s="20" t="s">
        <v>423</v>
      </c>
      <c r="M66" s="20" t="s">
        <v>615</v>
      </c>
      <c r="N66" s="20" t="s">
        <v>639</v>
      </c>
      <c r="O66" s="20" t="s">
        <v>640</v>
      </c>
      <c r="P66" s="20" t="s">
        <v>424</v>
      </c>
    </row>
    <row r="67" spans="1:16" ht="25.5" x14ac:dyDescent="0.45">
      <c r="A67" s="3" t="s">
        <v>641</v>
      </c>
      <c r="B67" s="3" t="s">
        <v>204</v>
      </c>
      <c r="C67" s="3" t="s">
        <v>153</v>
      </c>
      <c r="D67" s="3" t="s">
        <v>642</v>
      </c>
      <c r="E67" s="3" t="s">
        <v>439</v>
      </c>
      <c r="F67" s="3" t="s">
        <v>532</v>
      </c>
      <c r="G67" s="3" t="s">
        <v>643</v>
      </c>
      <c r="H67" s="3" t="s">
        <v>624</v>
      </c>
      <c r="I67" s="3" t="s">
        <v>490</v>
      </c>
      <c r="J67" s="3" t="s">
        <v>421</v>
      </c>
      <c r="K67" s="3" t="s">
        <v>644</v>
      </c>
      <c r="L67" s="3" t="s">
        <v>480</v>
      </c>
      <c r="M67" s="3" t="s">
        <v>645</v>
      </c>
      <c r="N67" s="3" t="s">
        <v>646</v>
      </c>
      <c r="O67" s="3" t="s">
        <v>615</v>
      </c>
      <c r="P67" s="3" t="s">
        <v>424</v>
      </c>
    </row>
    <row r="68" spans="1:16" x14ac:dyDescent="0.45">
      <c r="A68" s="20" t="s">
        <v>647</v>
      </c>
      <c r="B68" s="20" t="s">
        <v>204</v>
      </c>
      <c r="C68" s="20" t="s">
        <v>153</v>
      </c>
      <c r="D68" s="20" t="s">
        <v>245</v>
      </c>
      <c r="E68" s="20" t="s">
        <v>439</v>
      </c>
      <c r="F68" s="20" t="s">
        <v>488</v>
      </c>
      <c r="G68" s="20" t="s">
        <v>648</v>
      </c>
      <c r="H68" s="20" t="s">
        <v>649</v>
      </c>
      <c r="I68" s="20" t="s">
        <v>490</v>
      </c>
      <c r="J68" s="20" t="s">
        <v>428</v>
      </c>
      <c r="K68" s="20" t="s">
        <v>246</v>
      </c>
      <c r="L68" s="20" t="s">
        <v>430</v>
      </c>
      <c r="M68" s="20" t="s">
        <v>615</v>
      </c>
      <c r="N68" s="20" t="s">
        <v>650</v>
      </c>
      <c r="O68" s="20" t="s">
        <v>615</v>
      </c>
      <c r="P68" s="20" t="s">
        <v>424</v>
      </c>
    </row>
    <row r="69" spans="1:16" ht="25.5" x14ac:dyDescent="0.45">
      <c r="A69" s="3" t="s">
        <v>651</v>
      </c>
      <c r="B69" s="3" t="s">
        <v>205</v>
      </c>
      <c r="C69" s="3" t="s">
        <v>206</v>
      </c>
      <c r="D69" s="3" t="s">
        <v>493</v>
      </c>
      <c r="E69" s="3" t="s">
        <v>433</v>
      </c>
      <c r="F69" s="3" t="s">
        <v>611</v>
      </c>
      <c r="G69" s="3"/>
      <c r="H69" s="3" t="s">
        <v>652</v>
      </c>
      <c r="I69" s="3" t="s">
        <v>160</v>
      </c>
      <c r="J69" s="3" t="s">
        <v>421</v>
      </c>
      <c r="K69" s="3" t="s">
        <v>653</v>
      </c>
      <c r="L69" s="3" t="s">
        <v>423</v>
      </c>
      <c r="M69" s="3" t="s">
        <v>654</v>
      </c>
      <c r="N69" s="3" t="s">
        <v>615</v>
      </c>
      <c r="O69" s="3" t="s">
        <v>615</v>
      </c>
      <c r="P69" s="3" t="s">
        <v>424</v>
      </c>
    </row>
    <row r="70" spans="1:16" x14ac:dyDescent="0.45">
      <c r="A70" s="20" t="s">
        <v>655</v>
      </c>
      <c r="B70" s="20" t="s">
        <v>205</v>
      </c>
      <c r="C70" s="20" t="s">
        <v>206</v>
      </c>
      <c r="D70" s="20" t="s">
        <v>656</v>
      </c>
      <c r="E70" s="20" t="s">
        <v>419</v>
      </c>
      <c r="F70" s="20" t="s">
        <v>657</v>
      </c>
      <c r="G70" s="20"/>
      <c r="H70" s="20" t="s">
        <v>628</v>
      </c>
      <c r="I70" s="20" t="s">
        <v>160</v>
      </c>
      <c r="J70" s="20" t="s">
        <v>421</v>
      </c>
      <c r="K70" s="20" t="s">
        <v>658</v>
      </c>
      <c r="L70" s="20" t="s">
        <v>659</v>
      </c>
      <c r="M70" s="20" t="s">
        <v>660</v>
      </c>
      <c r="N70" s="20" t="s">
        <v>615</v>
      </c>
      <c r="O70" s="20" t="s">
        <v>615</v>
      </c>
      <c r="P70" s="20" t="s">
        <v>424</v>
      </c>
    </row>
    <row r="71" spans="1:16" x14ac:dyDescent="0.45">
      <c r="A71" s="3" t="s">
        <v>661</v>
      </c>
      <c r="B71" s="3" t="s">
        <v>205</v>
      </c>
      <c r="C71" s="3" t="s">
        <v>206</v>
      </c>
      <c r="D71" s="3" t="s">
        <v>662</v>
      </c>
      <c r="E71" s="3" t="s">
        <v>433</v>
      </c>
      <c r="F71" s="3" t="s">
        <v>663</v>
      </c>
      <c r="G71" s="3"/>
      <c r="H71" s="3" t="s">
        <v>664</v>
      </c>
      <c r="I71" s="3" t="s">
        <v>160</v>
      </c>
      <c r="J71" s="3" t="s">
        <v>421</v>
      </c>
      <c r="K71" s="3" t="s">
        <v>665</v>
      </c>
      <c r="L71" s="3" t="s">
        <v>423</v>
      </c>
      <c r="M71" s="3" t="s">
        <v>666</v>
      </c>
      <c r="N71" s="3" t="s">
        <v>615</v>
      </c>
      <c r="O71" s="3" t="s">
        <v>667</v>
      </c>
      <c r="P71" s="3" t="s">
        <v>424</v>
      </c>
    </row>
    <row r="72" spans="1:16" x14ac:dyDescent="0.45">
      <c r="A72" s="20" t="s">
        <v>668</v>
      </c>
      <c r="B72" s="20" t="s">
        <v>205</v>
      </c>
      <c r="C72" s="20" t="s">
        <v>206</v>
      </c>
      <c r="D72" s="20" t="s">
        <v>343</v>
      </c>
      <c r="E72" s="20" t="s">
        <v>439</v>
      </c>
      <c r="F72" s="20" t="s">
        <v>488</v>
      </c>
      <c r="G72" s="20" t="s">
        <v>435</v>
      </c>
      <c r="H72" s="20" t="s">
        <v>669</v>
      </c>
      <c r="I72" s="20" t="s">
        <v>160</v>
      </c>
      <c r="J72" s="20" t="s">
        <v>428</v>
      </c>
      <c r="K72" s="20" t="s">
        <v>670</v>
      </c>
      <c r="L72" s="20" t="s">
        <v>430</v>
      </c>
      <c r="M72" s="20" t="s">
        <v>615</v>
      </c>
      <c r="N72" s="20" t="s">
        <v>671</v>
      </c>
      <c r="O72" s="20" t="s">
        <v>615</v>
      </c>
      <c r="P72" s="20" t="s">
        <v>424</v>
      </c>
    </row>
    <row r="73" spans="1:16" x14ac:dyDescent="0.45">
      <c r="A73" s="3" t="s">
        <v>672</v>
      </c>
      <c r="B73" s="3" t="s">
        <v>209</v>
      </c>
      <c r="C73" s="3" t="s">
        <v>210</v>
      </c>
      <c r="D73" s="3" t="s">
        <v>463</v>
      </c>
      <c r="E73" s="3" t="s">
        <v>419</v>
      </c>
      <c r="F73" s="3" t="s">
        <v>673</v>
      </c>
      <c r="G73" s="3"/>
      <c r="H73" s="3" t="s">
        <v>674</v>
      </c>
      <c r="I73" s="3" t="s">
        <v>490</v>
      </c>
      <c r="J73" s="3" t="s">
        <v>421</v>
      </c>
      <c r="K73" s="3" t="s">
        <v>658</v>
      </c>
      <c r="L73" s="3" t="s">
        <v>659</v>
      </c>
      <c r="M73" s="3" t="s">
        <v>675</v>
      </c>
      <c r="N73" s="3" t="s">
        <v>615</v>
      </c>
      <c r="O73" s="3" t="s">
        <v>615</v>
      </c>
      <c r="P73" s="3" t="s">
        <v>424</v>
      </c>
    </row>
    <row r="74" spans="1:16" ht="25.5" x14ac:dyDescent="0.45">
      <c r="A74" s="20" t="s">
        <v>676</v>
      </c>
      <c r="B74" s="20" t="s">
        <v>209</v>
      </c>
      <c r="C74" s="20" t="s">
        <v>210</v>
      </c>
      <c r="D74" s="20" t="s">
        <v>677</v>
      </c>
      <c r="E74" s="20" t="s">
        <v>419</v>
      </c>
      <c r="F74" s="20" t="s">
        <v>678</v>
      </c>
      <c r="G74" s="20"/>
      <c r="H74" s="20" t="s">
        <v>679</v>
      </c>
      <c r="I74" s="20" t="s">
        <v>490</v>
      </c>
      <c r="J74" s="20" t="s">
        <v>421</v>
      </c>
      <c r="K74" s="20" t="s">
        <v>658</v>
      </c>
      <c r="L74" s="20" t="s">
        <v>680</v>
      </c>
      <c r="M74" s="20" t="s">
        <v>681</v>
      </c>
      <c r="N74" s="20" t="s">
        <v>615</v>
      </c>
      <c r="O74" s="20" t="s">
        <v>615</v>
      </c>
      <c r="P74" s="20" t="s">
        <v>424</v>
      </c>
    </row>
    <row r="75" spans="1:16" x14ac:dyDescent="0.45">
      <c r="A75" s="3" t="s">
        <v>682</v>
      </c>
      <c r="B75" s="3" t="s">
        <v>209</v>
      </c>
      <c r="C75" s="3" t="s">
        <v>210</v>
      </c>
      <c r="D75" s="3" t="s">
        <v>608</v>
      </c>
      <c r="E75" s="3" t="s">
        <v>419</v>
      </c>
      <c r="F75" s="3" t="s">
        <v>683</v>
      </c>
      <c r="G75" s="3"/>
      <c r="H75" s="3" t="s">
        <v>624</v>
      </c>
      <c r="I75" s="3" t="s">
        <v>490</v>
      </c>
      <c r="J75" s="3" t="s">
        <v>421</v>
      </c>
      <c r="K75" s="3" t="s">
        <v>684</v>
      </c>
      <c r="L75" s="3" t="s">
        <v>659</v>
      </c>
      <c r="M75" s="3" t="s">
        <v>615</v>
      </c>
      <c r="N75" s="3" t="s">
        <v>646</v>
      </c>
      <c r="O75" s="3" t="s">
        <v>685</v>
      </c>
      <c r="P75" s="3" t="s">
        <v>424</v>
      </c>
    </row>
    <row r="76" spans="1:16" x14ac:dyDescent="0.45">
      <c r="A76" s="20" t="s">
        <v>686</v>
      </c>
      <c r="B76" s="20" t="s">
        <v>209</v>
      </c>
      <c r="C76" s="20" t="s">
        <v>210</v>
      </c>
      <c r="D76" s="20" t="s">
        <v>478</v>
      </c>
      <c r="E76" s="20" t="s">
        <v>439</v>
      </c>
      <c r="F76" s="20" t="s">
        <v>488</v>
      </c>
      <c r="G76" s="20" t="s">
        <v>435</v>
      </c>
      <c r="H76" s="20" t="s">
        <v>687</v>
      </c>
      <c r="I76" s="20" t="s">
        <v>490</v>
      </c>
      <c r="J76" s="20" t="s">
        <v>421</v>
      </c>
      <c r="K76" s="20" t="s">
        <v>688</v>
      </c>
      <c r="L76" s="20" t="s">
        <v>423</v>
      </c>
      <c r="M76" s="20" t="s">
        <v>615</v>
      </c>
      <c r="N76" s="20" t="s">
        <v>650</v>
      </c>
      <c r="O76" s="20" t="s">
        <v>615</v>
      </c>
      <c r="P76" s="20" t="s">
        <v>424</v>
      </c>
    </row>
    <row r="77" spans="1:16" ht="25.5" x14ac:dyDescent="0.45">
      <c r="A77" s="3" t="s">
        <v>689</v>
      </c>
      <c r="B77" s="3" t="s">
        <v>213</v>
      </c>
      <c r="C77" s="3" t="s">
        <v>214</v>
      </c>
      <c r="D77" s="3" t="s">
        <v>690</v>
      </c>
      <c r="E77" s="3" t="s">
        <v>433</v>
      </c>
      <c r="F77" s="3" t="s">
        <v>611</v>
      </c>
      <c r="G77" s="3"/>
      <c r="H77" s="3" t="s">
        <v>664</v>
      </c>
      <c r="I77" s="3" t="s">
        <v>490</v>
      </c>
      <c r="J77" s="3" t="s">
        <v>421</v>
      </c>
      <c r="K77" s="3" t="s">
        <v>691</v>
      </c>
      <c r="L77" s="3" t="s">
        <v>423</v>
      </c>
      <c r="M77" s="3" t="s">
        <v>692</v>
      </c>
      <c r="N77" s="3" t="s">
        <v>615</v>
      </c>
      <c r="O77" s="3" t="s">
        <v>615</v>
      </c>
      <c r="P77" s="3" t="s">
        <v>424</v>
      </c>
    </row>
    <row r="78" spans="1:16" x14ac:dyDescent="0.45">
      <c r="A78" s="20" t="s">
        <v>693</v>
      </c>
      <c r="B78" s="20" t="s">
        <v>213</v>
      </c>
      <c r="C78" s="20" t="s">
        <v>214</v>
      </c>
      <c r="D78" s="20" t="s">
        <v>694</v>
      </c>
      <c r="E78" s="20" t="s">
        <v>439</v>
      </c>
      <c r="F78" s="20" t="s">
        <v>488</v>
      </c>
      <c r="G78" s="20" t="s">
        <v>435</v>
      </c>
      <c r="H78" s="20" t="s">
        <v>695</v>
      </c>
      <c r="I78" s="20" t="s">
        <v>490</v>
      </c>
      <c r="J78" s="20" t="s">
        <v>428</v>
      </c>
      <c r="K78" s="20" t="s">
        <v>696</v>
      </c>
      <c r="L78" s="20" t="s">
        <v>430</v>
      </c>
      <c r="M78" s="20" t="s">
        <v>615</v>
      </c>
      <c r="N78" s="20" t="s">
        <v>620</v>
      </c>
      <c r="O78" s="20" t="s">
        <v>615</v>
      </c>
      <c r="P78" s="20" t="s">
        <v>424</v>
      </c>
    </row>
    <row r="79" spans="1:16" ht="25.5" x14ac:dyDescent="0.45">
      <c r="A79" s="3" t="s">
        <v>697</v>
      </c>
      <c r="B79" s="3" t="s">
        <v>213</v>
      </c>
      <c r="C79" s="3" t="s">
        <v>214</v>
      </c>
      <c r="D79" s="3" t="s">
        <v>319</v>
      </c>
      <c r="E79" s="3" t="s">
        <v>433</v>
      </c>
      <c r="F79" s="3" t="s">
        <v>532</v>
      </c>
      <c r="G79" s="3" t="s">
        <v>435</v>
      </c>
      <c r="H79" s="3" t="s">
        <v>698</v>
      </c>
      <c r="I79" s="3" t="s">
        <v>490</v>
      </c>
      <c r="J79" s="3" t="s">
        <v>421</v>
      </c>
      <c r="K79" s="3" t="s">
        <v>699</v>
      </c>
      <c r="L79" s="3" t="s">
        <v>423</v>
      </c>
      <c r="M79" s="3" t="s">
        <v>700</v>
      </c>
      <c r="N79" s="3" t="s">
        <v>615</v>
      </c>
      <c r="O79" s="3" t="s">
        <v>615</v>
      </c>
      <c r="P79" s="3" t="s">
        <v>424</v>
      </c>
    </row>
    <row r="80" spans="1:16" x14ac:dyDescent="0.45">
      <c r="A80" s="20" t="s">
        <v>701</v>
      </c>
      <c r="B80" s="20" t="s">
        <v>213</v>
      </c>
      <c r="C80" s="20" t="s">
        <v>214</v>
      </c>
      <c r="D80" s="20" t="s">
        <v>702</v>
      </c>
      <c r="E80" s="20" t="s">
        <v>433</v>
      </c>
      <c r="F80" s="20" t="s">
        <v>434</v>
      </c>
      <c r="G80" s="20"/>
      <c r="H80" s="20" t="s">
        <v>628</v>
      </c>
      <c r="I80" s="20" t="s">
        <v>490</v>
      </c>
      <c r="J80" s="20" t="s">
        <v>428</v>
      </c>
      <c r="K80" s="20" t="s">
        <v>323</v>
      </c>
      <c r="L80" s="20" t="s">
        <v>423</v>
      </c>
      <c r="M80" s="20" t="s">
        <v>703</v>
      </c>
      <c r="N80" s="20" t="s">
        <v>615</v>
      </c>
      <c r="O80" s="20" t="s">
        <v>615</v>
      </c>
      <c r="P80" s="20" t="s">
        <v>436</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0"/>
  <sheetViews>
    <sheetView showGridLines="0" zoomScaleNormal="100" workbookViewId="0">
      <pane ySplit="1" topLeftCell="A2" activePane="bottomLeft" state="frozen"/>
      <selection pane="bottomLeft"/>
    </sheetView>
  </sheetViews>
  <sheetFormatPr defaultColWidth="8.59765625" defaultRowHeight="14.25" x14ac:dyDescent="0.45"/>
  <cols>
    <col min="1" max="2" width="10" customWidth="1"/>
    <col min="3" max="3" width="24" customWidth="1"/>
    <col min="4" max="5" width="12" customWidth="1"/>
    <col min="6" max="6" width="16" customWidth="1"/>
    <col min="7" max="8" width="12" customWidth="1"/>
    <col min="9" max="9" width="9" customWidth="1"/>
    <col min="10" max="10" width="16" customWidth="1"/>
    <col min="11" max="11" width="15" customWidth="1"/>
    <col min="12" max="12" width="14" customWidth="1"/>
  </cols>
  <sheetData>
    <row r="1" spans="1:12" ht="23.25" customHeight="1" x14ac:dyDescent="0.45">
      <c r="A1" s="15" t="s">
        <v>704</v>
      </c>
      <c r="B1" s="15" t="s">
        <v>131</v>
      </c>
      <c r="C1" s="15" t="s">
        <v>132</v>
      </c>
      <c r="D1" s="15" t="s">
        <v>705</v>
      </c>
      <c r="E1" s="15" t="s">
        <v>405</v>
      </c>
      <c r="F1" s="15" t="s">
        <v>406</v>
      </c>
      <c r="G1" s="15" t="s">
        <v>408</v>
      </c>
      <c r="H1" s="15" t="s">
        <v>706</v>
      </c>
      <c r="I1" s="15" t="s">
        <v>707</v>
      </c>
      <c r="J1" s="15" t="s">
        <v>708</v>
      </c>
      <c r="K1" s="15" t="s">
        <v>709</v>
      </c>
      <c r="L1" s="15" t="s">
        <v>710</v>
      </c>
    </row>
    <row r="2" spans="1:12" ht="15" customHeight="1" x14ac:dyDescent="0.45">
      <c r="A2" s="16" t="s">
        <v>711</v>
      </c>
      <c r="B2" s="16" t="s">
        <v>142</v>
      </c>
      <c r="C2" s="16" t="s">
        <v>143</v>
      </c>
      <c r="D2" s="16" t="s">
        <v>243</v>
      </c>
      <c r="E2" s="16" t="s">
        <v>419</v>
      </c>
      <c r="F2" s="16" t="s">
        <v>420</v>
      </c>
      <c r="G2" s="21">
        <v>150</v>
      </c>
      <c r="H2" s="16">
        <v>5</v>
      </c>
      <c r="I2" s="16" t="s">
        <v>712</v>
      </c>
      <c r="J2" s="16" t="s">
        <v>713</v>
      </c>
      <c r="K2" s="16">
        <v>13</v>
      </c>
      <c r="L2" s="16" t="s">
        <v>714</v>
      </c>
    </row>
    <row r="3" spans="1:12" ht="15" customHeight="1" x14ac:dyDescent="0.45">
      <c r="A3" s="18" t="s">
        <v>715</v>
      </c>
      <c r="B3" s="18" t="s">
        <v>142</v>
      </c>
      <c r="C3" s="18" t="s">
        <v>143</v>
      </c>
      <c r="D3" s="18" t="s">
        <v>716</v>
      </c>
      <c r="E3" s="18" t="s">
        <v>419</v>
      </c>
      <c r="F3" s="18" t="s">
        <v>420</v>
      </c>
      <c r="G3" s="24">
        <v>100</v>
      </c>
      <c r="H3" s="18">
        <v>3</v>
      </c>
      <c r="I3" s="18" t="s">
        <v>712</v>
      </c>
      <c r="J3" s="18" t="s">
        <v>717</v>
      </c>
      <c r="K3" s="18">
        <v>4</v>
      </c>
      <c r="L3" s="18" t="s">
        <v>718</v>
      </c>
    </row>
    <row r="4" spans="1:12" ht="15" customHeight="1" x14ac:dyDescent="0.45">
      <c r="A4" s="16" t="s">
        <v>719</v>
      </c>
      <c r="B4" s="16" t="s">
        <v>142</v>
      </c>
      <c r="C4" s="16" t="s">
        <v>143</v>
      </c>
      <c r="D4" s="16" t="s">
        <v>456</v>
      </c>
      <c r="E4" s="16" t="s">
        <v>419</v>
      </c>
      <c r="F4" s="16" t="s">
        <v>427</v>
      </c>
      <c r="G4" s="21">
        <v>50</v>
      </c>
      <c r="H4" s="16">
        <v>3</v>
      </c>
      <c r="I4" s="16" t="s">
        <v>712</v>
      </c>
      <c r="J4" s="16" t="s">
        <v>717</v>
      </c>
      <c r="K4" s="16">
        <v>43</v>
      </c>
      <c r="L4" s="16" t="s">
        <v>720</v>
      </c>
    </row>
    <row r="5" spans="1:12" ht="15" customHeight="1" x14ac:dyDescent="0.45">
      <c r="A5" s="18" t="s">
        <v>721</v>
      </c>
      <c r="B5" s="18" t="s">
        <v>142</v>
      </c>
      <c r="C5" s="18" t="s">
        <v>143</v>
      </c>
      <c r="D5" s="18" t="s">
        <v>331</v>
      </c>
      <c r="E5" s="18" t="s">
        <v>439</v>
      </c>
      <c r="F5" s="18" t="s">
        <v>575</v>
      </c>
      <c r="G5" s="24">
        <v>25</v>
      </c>
      <c r="H5" s="18">
        <v>3</v>
      </c>
      <c r="I5" s="18" t="s">
        <v>712</v>
      </c>
      <c r="J5" s="18" t="s">
        <v>713</v>
      </c>
      <c r="K5" s="18">
        <v>37</v>
      </c>
      <c r="L5" s="18" t="s">
        <v>718</v>
      </c>
    </row>
    <row r="6" spans="1:12" ht="15" customHeight="1" x14ac:dyDescent="0.45">
      <c r="A6" s="16" t="s">
        <v>722</v>
      </c>
      <c r="B6" s="16" t="s">
        <v>142</v>
      </c>
      <c r="C6" s="16" t="s">
        <v>143</v>
      </c>
      <c r="D6" s="16" t="s">
        <v>723</v>
      </c>
      <c r="E6" s="16" t="s">
        <v>419</v>
      </c>
      <c r="F6" s="16" t="s">
        <v>427</v>
      </c>
      <c r="G6" s="21">
        <v>100</v>
      </c>
      <c r="H6" s="16">
        <v>3</v>
      </c>
      <c r="I6" s="16" t="s">
        <v>724</v>
      </c>
      <c r="J6" s="16"/>
      <c r="K6" s="16">
        <v>29</v>
      </c>
      <c r="L6" s="16" t="s">
        <v>725</v>
      </c>
    </row>
    <row r="7" spans="1:12" ht="15" customHeight="1" x14ac:dyDescent="0.45">
      <c r="A7" s="18" t="s">
        <v>726</v>
      </c>
      <c r="B7" s="18" t="s">
        <v>142</v>
      </c>
      <c r="C7" s="18" t="s">
        <v>143</v>
      </c>
      <c r="D7" s="18" t="s">
        <v>238</v>
      </c>
      <c r="E7" s="18" t="s">
        <v>433</v>
      </c>
      <c r="F7" s="18" t="s">
        <v>522</v>
      </c>
      <c r="G7" s="24">
        <v>150</v>
      </c>
      <c r="H7" s="18">
        <v>4</v>
      </c>
      <c r="I7" s="18" t="s">
        <v>712</v>
      </c>
      <c r="J7" s="18" t="s">
        <v>727</v>
      </c>
      <c r="K7" s="18">
        <v>14</v>
      </c>
      <c r="L7" s="18" t="s">
        <v>714</v>
      </c>
    </row>
    <row r="8" spans="1:12" ht="15" customHeight="1" x14ac:dyDescent="0.45">
      <c r="A8" s="16" t="s">
        <v>728</v>
      </c>
      <c r="B8" s="16" t="s">
        <v>142</v>
      </c>
      <c r="C8" s="16" t="s">
        <v>143</v>
      </c>
      <c r="D8" s="16" t="s">
        <v>567</v>
      </c>
      <c r="E8" s="16" t="s">
        <v>419</v>
      </c>
      <c r="F8" s="16" t="s">
        <v>427</v>
      </c>
      <c r="G8" s="21">
        <v>250</v>
      </c>
      <c r="H8" s="16">
        <v>6</v>
      </c>
      <c r="I8" s="16" t="s">
        <v>712</v>
      </c>
      <c r="J8" s="16" t="s">
        <v>727</v>
      </c>
      <c r="K8" s="16">
        <v>30</v>
      </c>
      <c r="L8" s="16" t="s">
        <v>714</v>
      </c>
    </row>
    <row r="9" spans="1:12" ht="15" customHeight="1" x14ac:dyDescent="0.45">
      <c r="A9" s="18" t="s">
        <v>729</v>
      </c>
      <c r="B9" s="18" t="s">
        <v>152</v>
      </c>
      <c r="C9" s="18" t="s">
        <v>153</v>
      </c>
      <c r="D9" s="18" t="s">
        <v>730</v>
      </c>
      <c r="E9" s="18" t="s">
        <v>433</v>
      </c>
      <c r="F9" s="18" t="s">
        <v>532</v>
      </c>
      <c r="G9" s="24">
        <v>150</v>
      </c>
      <c r="H9" s="18">
        <v>4</v>
      </c>
      <c r="I9" s="18" t="s">
        <v>724</v>
      </c>
      <c r="J9" s="18"/>
      <c r="K9" s="18">
        <v>32</v>
      </c>
      <c r="L9" s="18" t="s">
        <v>725</v>
      </c>
    </row>
    <row r="10" spans="1:12" ht="15" customHeight="1" x14ac:dyDescent="0.45">
      <c r="A10" s="16" t="s">
        <v>731</v>
      </c>
      <c r="B10" s="16" t="s">
        <v>152</v>
      </c>
      <c r="C10" s="16" t="s">
        <v>153</v>
      </c>
      <c r="D10" s="16" t="s">
        <v>732</v>
      </c>
      <c r="E10" s="16" t="s">
        <v>419</v>
      </c>
      <c r="F10" s="16" t="s">
        <v>427</v>
      </c>
      <c r="G10" s="21">
        <v>100</v>
      </c>
      <c r="H10" s="16">
        <v>4</v>
      </c>
      <c r="I10" s="16" t="s">
        <v>724</v>
      </c>
      <c r="J10" s="16"/>
      <c r="K10" s="16">
        <v>34</v>
      </c>
      <c r="L10" s="16" t="s">
        <v>725</v>
      </c>
    </row>
    <row r="11" spans="1:12" ht="15" customHeight="1" x14ac:dyDescent="0.45">
      <c r="A11" s="18" t="s">
        <v>733</v>
      </c>
      <c r="B11" s="18" t="s">
        <v>152</v>
      </c>
      <c r="C11" s="18" t="s">
        <v>153</v>
      </c>
      <c r="D11" s="18" t="s">
        <v>734</v>
      </c>
      <c r="E11" s="18" t="s">
        <v>439</v>
      </c>
      <c r="F11" s="18" t="s">
        <v>575</v>
      </c>
      <c r="G11" s="24">
        <v>250</v>
      </c>
      <c r="H11" s="18">
        <v>5</v>
      </c>
      <c r="I11" s="18" t="s">
        <v>724</v>
      </c>
      <c r="J11" s="18"/>
      <c r="K11" s="18">
        <v>38</v>
      </c>
      <c r="L11" s="18" t="s">
        <v>725</v>
      </c>
    </row>
    <row r="12" spans="1:12" ht="15" customHeight="1" x14ac:dyDescent="0.45">
      <c r="A12" s="16" t="s">
        <v>735</v>
      </c>
      <c r="B12" s="16" t="s">
        <v>152</v>
      </c>
      <c r="C12" s="16" t="s">
        <v>153</v>
      </c>
      <c r="D12" s="16" t="s">
        <v>475</v>
      </c>
      <c r="E12" s="16" t="s">
        <v>439</v>
      </c>
      <c r="F12" s="16" t="s">
        <v>488</v>
      </c>
      <c r="G12" s="21">
        <v>150</v>
      </c>
      <c r="H12" s="16">
        <v>6</v>
      </c>
      <c r="I12" s="16" t="s">
        <v>724</v>
      </c>
      <c r="J12" s="16"/>
      <c r="K12" s="16">
        <v>38</v>
      </c>
      <c r="L12" s="16" t="s">
        <v>725</v>
      </c>
    </row>
    <row r="13" spans="1:12" ht="15" customHeight="1" x14ac:dyDescent="0.45">
      <c r="A13" s="18" t="s">
        <v>736</v>
      </c>
      <c r="B13" s="18" t="s">
        <v>152</v>
      </c>
      <c r="C13" s="18" t="s">
        <v>153</v>
      </c>
      <c r="D13" s="18" t="s">
        <v>337</v>
      </c>
      <c r="E13" s="18" t="s">
        <v>439</v>
      </c>
      <c r="F13" s="18" t="s">
        <v>440</v>
      </c>
      <c r="G13" s="24">
        <v>150</v>
      </c>
      <c r="H13" s="18">
        <v>3</v>
      </c>
      <c r="I13" s="18" t="s">
        <v>712</v>
      </c>
      <c r="J13" s="18" t="s">
        <v>737</v>
      </c>
      <c r="K13" s="18">
        <v>21</v>
      </c>
      <c r="L13" s="18" t="s">
        <v>720</v>
      </c>
    </row>
    <row r="14" spans="1:12" ht="15" customHeight="1" x14ac:dyDescent="0.45">
      <c r="A14" s="16" t="s">
        <v>738</v>
      </c>
      <c r="B14" s="16" t="s">
        <v>152</v>
      </c>
      <c r="C14" s="16" t="s">
        <v>153</v>
      </c>
      <c r="D14" s="16" t="s">
        <v>739</v>
      </c>
      <c r="E14" s="16" t="s">
        <v>433</v>
      </c>
      <c r="F14" s="16" t="s">
        <v>532</v>
      </c>
      <c r="G14" s="21">
        <v>100</v>
      </c>
      <c r="H14" s="16">
        <v>6</v>
      </c>
      <c r="I14" s="16" t="s">
        <v>712</v>
      </c>
      <c r="J14" s="16" t="s">
        <v>717</v>
      </c>
      <c r="K14" s="16">
        <v>36</v>
      </c>
      <c r="L14" s="16" t="s">
        <v>718</v>
      </c>
    </row>
    <row r="15" spans="1:12" ht="15" customHeight="1" x14ac:dyDescent="0.45">
      <c r="A15" s="18" t="s">
        <v>740</v>
      </c>
      <c r="B15" s="18" t="s">
        <v>161</v>
      </c>
      <c r="C15" s="18" t="s">
        <v>162</v>
      </c>
      <c r="D15" s="18" t="s">
        <v>741</v>
      </c>
      <c r="E15" s="18" t="s">
        <v>419</v>
      </c>
      <c r="F15" s="18" t="s">
        <v>427</v>
      </c>
      <c r="G15" s="24">
        <v>100</v>
      </c>
      <c r="H15" s="18">
        <v>5</v>
      </c>
      <c r="I15" s="18" t="s">
        <v>712</v>
      </c>
      <c r="J15" s="18" t="s">
        <v>713</v>
      </c>
      <c r="K15" s="18">
        <v>17</v>
      </c>
      <c r="L15" s="18" t="s">
        <v>720</v>
      </c>
    </row>
    <row r="16" spans="1:12" ht="15" customHeight="1" x14ac:dyDescent="0.45">
      <c r="A16" s="16" t="s">
        <v>742</v>
      </c>
      <c r="B16" s="16" t="s">
        <v>161</v>
      </c>
      <c r="C16" s="16" t="s">
        <v>162</v>
      </c>
      <c r="D16" s="16" t="s">
        <v>743</v>
      </c>
      <c r="E16" s="16" t="s">
        <v>419</v>
      </c>
      <c r="F16" s="16" t="s">
        <v>420</v>
      </c>
      <c r="G16" s="21">
        <v>250</v>
      </c>
      <c r="H16" s="16">
        <v>4</v>
      </c>
      <c r="I16" s="16" t="s">
        <v>724</v>
      </c>
      <c r="J16" s="16"/>
      <c r="K16" s="16">
        <v>15</v>
      </c>
      <c r="L16" s="16" t="s">
        <v>725</v>
      </c>
    </row>
    <row r="17" spans="1:12" ht="15" customHeight="1" x14ac:dyDescent="0.45">
      <c r="A17" s="18" t="s">
        <v>744</v>
      </c>
      <c r="B17" s="18" t="s">
        <v>161</v>
      </c>
      <c r="C17" s="18" t="s">
        <v>162</v>
      </c>
      <c r="D17" s="18" t="s">
        <v>535</v>
      </c>
      <c r="E17" s="18" t="s">
        <v>439</v>
      </c>
      <c r="F17" s="18" t="s">
        <v>440</v>
      </c>
      <c r="G17" s="24">
        <v>250</v>
      </c>
      <c r="H17" s="18">
        <v>5</v>
      </c>
      <c r="I17" s="18" t="s">
        <v>712</v>
      </c>
      <c r="J17" s="18" t="s">
        <v>737</v>
      </c>
      <c r="K17" s="18">
        <v>15</v>
      </c>
      <c r="L17" s="18" t="s">
        <v>718</v>
      </c>
    </row>
    <row r="18" spans="1:12" ht="15" customHeight="1" x14ac:dyDescent="0.45">
      <c r="A18" s="16" t="s">
        <v>745</v>
      </c>
      <c r="B18" s="16" t="s">
        <v>161</v>
      </c>
      <c r="C18" s="16" t="s">
        <v>162</v>
      </c>
      <c r="D18" s="16" t="s">
        <v>580</v>
      </c>
      <c r="E18" s="16" t="s">
        <v>439</v>
      </c>
      <c r="F18" s="16" t="s">
        <v>575</v>
      </c>
      <c r="G18" s="21">
        <v>250</v>
      </c>
      <c r="H18" s="16">
        <v>4</v>
      </c>
      <c r="I18" s="16" t="s">
        <v>724</v>
      </c>
      <c r="J18" s="16"/>
      <c r="K18" s="16">
        <v>20</v>
      </c>
      <c r="L18" s="16" t="s">
        <v>725</v>
      </c>
    </row>
    <row r="19" spans="1:12" ht="15" customHeight="1" x14ac:dyDescent="0.45">
      <c r="A19" s="18" t="s">
        <v>746</v>
      </c>
      <c r="B19" s="18" t="s">
        <v>161</v>
      </c>
      <c r="C19" s="18" t="s">
        <v>162</v>
      </c>
      <c r="D19" s="18" t="s">
        <v>747</v>
      </c>
      <c r="E19" s="18" t="s">
        <v>439</v>
      </c>
      <c r="F19" s="18" t="s">
        <v>446</v>
      </c>
      <c r="G19" s="24">
        <v>50</v>
      </c>
      <c r="H19" s="18">
        <v>6</v>
      </c>
      <c r="I19" s="18" t="s">
        <v>724</v>
      </c>
      <c r="J19" s="18"/>
      <c r="K19" s="18">
        <v>9</v>
      </c>
      <c r="L19" s="18" t="s">
        <v>725</v>
      </c>
    </row>
    <row r="20" spans="1:12" ht="15" customHeight="1" x14ac:dyDescent="0.45">
      <c r="A20" s="16" t="s">
        <v>748</v>
      </c>
      <c r="B20" s="16" t="s">
        <v>161</v>
      </c>
      <c r="C20" s="16" t="s">
        <v>162</v>
      </c>
      <c r="D20" s="16" t="s">
        <v>749</v>
      </c>
      <c r="E20" s="16" t="s">
        <v>439</v>
      </c>
      <c r="F20" s="16" t="s">
        <v>575</v>
      </c>
      <c r="G20" s="21">
        <v>100</v>
      </c>
      <c r="H20" s="16">
        <v>4</v>
      </c>
      <c r="I20" s="16" t="s">
        <v>724</v>
      </c>
      <c r="J20" s="16"/>
      <c r="K20" s="16">
        <v>6</v>
      </c>
      <c r="L20" s="16" t="s">
        <v>725</v>
      </c>
    </row>
    <row r="21" spans="1:12" ht="15" customHeight="1" x14ac:dyDescent="0.45">
      <c r="A21" s="18" t="s">
        <v>750</v>
      </c>
      <c r="B21" s="18" t="s">
        <v>161</v>
      </c>
      <c r="C21" s="18" t="s">
        <v>162</v>
      </c>
      <c r="D21" s="18" t="s">
        <v>751</v>
      </c>
      <c r="E21" s="18" t="s">
        <v>433</v>
      </c>
      <c r="F21" s="18" t="s">
        <v>494</v>
      </c>
      <c r="G21" s="24">
        <v>150</v>
      </c>
      <c r="H21" s="18">
        <v>6</v>
      </c>
      <c r="I21" s="18" t="s">
        <v>712</v>
      </c>
      <c r="J21" s="18" t="s">
        <v>737</v>
      </c>
      <c r="K21" s="18">
        <v>39</v>
      </c>
      <c r="L21" s="18" t="s">
        <v>714</v>
      </c>
    </row>
    <row r="22" spans="1:12" ht="15" customHeight="1" x14ac:dyDescent="0.45">
      <c r="A22" s="16" t="s">
        <v>752</v>
      </c>
      <c r="B22" s="16" t="s">
        <v>166</v>
      </c>
      <c r="C22" s="16" t="s">
        <v>167</v>
      </c>
      <c r="D22" s="16" t="s">
        <v>243</v>
      </c>
      <c r="E22" s="16" t="s">
        <v>439</v>
      </c>
      <c r="F22" s="16" t="s">
        <v>488</v>
      </c>
      <c r="G22" s="21">
        <v>25</v>
      </c>
      <c r="H22" s="16">
        <v>4</v>
      </c>
      <c r="I22" s="16" t="s">
        <v>712</v>
      </c>
      <c r="J22" s="16" t="s">
        <v>737</v>
      </c>
      <c r="K22" s="16">
        <v>38</v>
      </c>
      <c r="L22" s="16" t="s">
        <v>718</v>
      </c>
    </row>
    <row r="23" spans="1:12" ht="15" customHeight="1" x14ac:dyDescent="0.45">
      <c r="A23" s="18" t="s">
        <v>753</v>
      </c>
      <c r="B23" s="18" t="s">
        <v>166</v>
      </c>
      <c r="C23" s="18" t="s">
        <v>167</v>
      </c>
      <c r="D23" s="18" t="s">
        <v>347</v>
      </c>
      <c r="E23" s="18" t="s">
        <v>419</v>
      </c>
      <c r="F23" s="18" t="s">
        <v>420</v>
      </c>
      <c r="G23" s="24">
        <v>150</v>
      </c>
      <c r="H23" s="18">
        <v>6</v>
      </c>
      <c r="I23" s="18" t="s">
        <v>724</v>
      </c>
      <c r="J23" s="18"/>
      <c r="K23" s="18">
        <v>22</v>
      </c>
      <c r="L23" s="18" t="s">
        <v>725</v>
      </c>
    </row>
    <row r="24" spans="1:12" ht="15" customHeight="1" x14ac:dyDescent="0.45">
      <c r="A24" s="16" t="s">
        <v>754</v>
      </c>
      <c r="B24" s="16" t="s">
        <v>166</v>
      </c>
      <c r="C24" s="16" t="s">
        <v>167</v>
      </c>
      <c r="D24" s="16" t="s">
        <v>739</v>
      </c>
      <c r="E24" s="16" t="s">
        <v>419</v>
      </c>
      <c r="F24" s="16" t="s">
        <v>427</v>
      </c>
      <c r="G24" s="21">
        <v>25</v>
      </c>
      <c r="H24" s="16">
        <v>3</v>
      </c>
      <c r="I24" s="16" t="s">
        <v>712</v>
      </c>
      <c r="J24" s="16" t="s">
        <v>755</v>
      </c>
      <c r="K24" s="16">
        <v>43</v>
      </c>
      <c r="L24" s="16" t="s">
        <v>720</v>
      </c>
    </row>
    <row r="25" spans="1:12" ht="15" customHeight="1" x14ac:dyDescent="0.45">
      <c r="A25" s="18" t="s">
        <v>756</v>
      </c>
      <c r="B25" s="18" t="s">
        <v>166</v>
      </c>
      <c r="C25" s="18" t="s">
        <v>167</v>
      </c>
      <c r="D25" s="18" t="s">
        <v>525</v>
      </c>
      <c r="E25" s="18" t="s">
        <v>433</v>
      </c>
      <c r="F25" s="18" t="s">
        <v>522</v>
      </c>
      <c r="G25" s="24">
        <v>250</v>
      </c>
      <c r="H25" s="18">
        <v>3</v>
      </c>
      <c r="I25" s="18" t="s">
        <v>724</v>
      </c>
      <c r="J25" s="18"/>
      <c r="K25" s="18">
        <v>13</v>
      </c>
      <c r="L25" s="18" t="s">
        <v>725</v>
      </c>
    </row>
    <row r="26" spans="1:12" ht="15" customHeight="1" x14ac:dyDescent="0.45">
      <c r="A26" s="16" t="s">
        <v>757</v>
      </c>
      <c r="B26" s="16" t="s">
        <v>171</v>
      </c>
      <c r="C26" s="16" t="s">
        <v>172</v>
      </c>
      <c r="D26" s="16" t="s">
        <v>758</v>
      </c>
      <c r="E26" s="16" t="s">
        <v>433</v>
      </c>
      <c r="F26" s="16" t="s">
        <v>494</v>
      </c>
      <c r="G26" s="21">
        <v>100</v>
      </c>
      <c r="H26" s="16">
        <v>3</v>
      </c>
      <c r="I26" s="16" t="s">
        <v>712</v>
      </c>
      <c r="J26" s="16" t="s">
        <v>755</v>
      </c>
      <c r="K26" s="16">
        <v>21</v>
      </c>
      <c r="L26" s="16" t="s">
        <v>714</v>
      </c>
    </row>
    <row r="27" spans="1:12" ht="15" customHeight="1" x14ac:dyDescent="0.45">
      <c r="A27" s="18" t="s">
        <v>759</v>
      </c>
      <c r="B27" s="18" t="s">
        <v>171</v>
      </c>
      <c r="C27" s="18" t="s">
        <v>172</v>
      </c>
      <c r="D27" s="18" t="s">
        <v>521</v>
      </c>
      <c r="E27" s="18" t="s">
        <v>433</v>
      </c>
      <c r="F27" s="18" t="s">
        <v>494</v>
      </c>
      <c r="G27" s="24">
        <v>100</v>
      </c>
      <c r="H27" s="18">
        <v>4</v>
      </c>
      <c r="I27" s="18" t="s">
        <v>712</v>
      </c>
      <c r="J27" s="18" t="s">
        <v>727</v>
      </c>
      <c r="K27" s="18">
        <v>10</v>
      </c>
      <c r="L27" s="18" t="s">
        <v>714</v>
      </c>
    </row>
    <row r="28" spans="1:12" ht="15" customHeight="1" x14ac:dyDescent="0.45">
      <c r="A28" s="16" t="s">
        <v>760</v>
      </c>
      <c r="B28" s="16" t="s">
        <v>171</v>
      </c>
      <c r="C28" s="16" t="s">
        <v>172</v>
      </c>
      <c r="D28" s="16" t="s">
        <v>761</v>
      </c>
      <c r="E28" s="16" t="s">
        <v>439</v>
      </c>
      <c r="F28" s="16" t="s">
        <v>488</v>
      </c>
      <c r="G28" s="21">
        <v>25</v>
      </c>
      <c r="H28" s="16">
        <v>3</v>
      </c>
      <c r="I28" s="16" t="s">
        <v>712</v>
      </c>
      <c r="J28" s="16" t="s">
        <v>755</v>
      </c>
      <c r="K28" s="16">
        <v>22</v>
      </c>
      <c r="L28" s="16" t="s">
        <v>714</v>
      </c>
    </row>
    <row r="29" spans="1:12" ht="15" customHeight="1" x14ac:dyDescent="0.45">
      <c r="A29" s="18" t="s">
        <v>762</v>
      </c>
      <c r="B29" s="18" t="s">
        <v>171</v>
      </c>
      <c r="C29" s="18" t="s">
        <v>172</v>
      </c>
      <c r="D29" s="18" t="s">
        <v>482</v>
      </c>
      <c r="E29" s="18" t="s">
        <v>419</v>
      </c>
      <c r="F29" s="18" t="s">
        <v>427</v>
      </c>
      <c r="G29" s="24">
        <v>100</v>
      </c>
      <c r="H29" s="18">
        <v>6</v>
      </c>
      <c r="I29" s="18" t="s">
        <v>724</v>
      </c>
      <c r="J29" s="18"/>
      <c r="K29" s="18">
        <v>20</v>
      </c>
      <c r="L29" s="18" t="s">
        <v>725</v>
      </c>
    </row>
    <row r="30" spans="1:12" ht="15" customHeight="1" x14ac:dyDescent="0.45">
      <c r="A30" s="16" t="s">
        <v>763</v>
      </c>
      <c r="B30" s="16" t="s">
        <v>179</v>
      </c>
      <c r="C30" s="16" t="s">
        <v>180</v>
      </c>
      <c r="D30" s="16" t="s">
        <v>764</v>
      </c>
      <c r="E30" s="16" t="s">
        <v>433</v>
      </c>
      <c r="F30" s="16" t="s">
        <v>522</v>
      </c>
      <c r="G30" s="21">
        <v>150</v>
      </c>
      <c r="H30" s="16">
        <v>5</v>
      </c>
      <c r="I30" s="16" t="s">
        <v>724</v>
      </c>
      <c r="J30" s="16"/>
      <c r="K30" s="16">
        <v>41</v>
      </c>
      <c r="L30" s="16" t="s">
        <v>725</v>
      </c>
    </row>
    <row r="31" spans="1:12" ht="15" customHeight="1" x14ac:dyDescent="0.45">
      <c r="A31" s="18" t="s">
        <v>765</v>
      </c>
      <c r="B31" s="18" t="s">
        <v>179</v>
      </c>
      <c r="C31" s="18" t="s">
        <v>180</v>
      </c>
      <c r="D31" s="18" t="s">
        <v>766</v>
      </c>
      <c r="E31" s="18" t="s">
        <v>433</v>
      </c>
      <c r="F31" s="18" t="s">
        <v>522</v>
      </c>
      <c r="G31" s="24">
        <v>250</v>
      </c>
      <c r="H31" s="18">
        <v>3</v>
      </c>
      <c r="I31" s="18" t="s">
        <v>724</v>
      </c>
      <c r="J31" s="18"/>
      <c r="K31" s="18">
        <v>20</v>
      </c>
      <c r="L31" s="18" t="s">
        <v>725</v>
      </c>
    </row>
    <row r="32" spans="1:12" ht="15" customHeight="1" x14ac:dyDescent="0.45">
      <c r="A32" s="16" t="s">
        <v>767</v>
      </c>
      <c r="B32" s="16" t="s">
        <v>179</v>
      </c>
      <c r="C32" s="16" t="s">
        <v>180</v>
      </c>
      <c r="D32" s="16" t="s">
        <v>311</v>
      </c>
      <c r="E32" s="16" t="s">
        <v>419</v>
      </c>
      <c r="F32" s="16" t="s">
        <v>420</v>
      </c>
      <c r="G32" s="21">
        <v>150</v>
      </c>
      <c r="H32" s="16">
        <v>6</v>
      </c>
      <c r="I32" s="16" t="s">
        <v>712</v>
      </c>
      <c r="J32" s="16" t="s">
        <v>713</v>
      </c>
      <c r="K32" s="16">
        <v>14</v>
      </c>
      <c r="L32" s="16" t="s">
        <v>714</v>
      </c>
    </row>
    <row r="33" spans="1:12" ht="15" customHeight="1" x14ac:dyDescent="0.45">
      <c r="A33" s="18" t="s">
        <v>768</v>
      </c>
      <c r="B33" s="18" t="s">
        <v>179</v>
      </c>
      <c r="C33" s="18" t="s">
        <v>180</v>
      </c>
      <c r="D33" s="18" t="s">
        <v>766</v>
      </c>
      <c r="E33" s="18" t="s">
        <v>433</v>
      </c>
      <c r="F33" s="18" t="s">
        <v>494</v>
      </c>
      <c r="G33" s="24">
        <v>150</v>
      </c>
      <c r="H33" s="18">
        <v>5</v>
      </c>
      <c r="I33" s="18" t="s">
        <v>724</v>
      </c>
      <c r="J33" s="18"/>
      <c r="K33" s="18">
        <v>23</v>
      </c>
      <c r="L33" s="18" t="s">
        <v>725</v>
      </c>
    </row>
    <row r="34" spans="1:12" ht="15" customHeight="1" x14ac:dyDescent="0.45">
      <c r="A34" s="16" t="s">
        <v>769</v>
      </c>
      <c r="B34" s="16" t="s">
        <v>179</v>
      </c>
      <c r="C34" s="16" t="s">
        <v>180</v>
      </c>
      <c r="D34" s="16" t="s">
        <v>610</v>
      </c>
      <c r="E34" s="16" t="s">
        <v>419</v>
      </c>
      <c r="F34" s="16" t="s">
        <v>420</v>
      </c>
      <c r="G34" s="21">
        <v>150</v>
      </c>
      <c r="H34" s="16">
        <v>5</v>
      </c>
      <c r="I34" s="16" t="s">
        <v>724</v>
      </c>
      <c r="J34" s="16"/>
      <c r="K34" s="16">
        <v>45</v>
      </c>
      <c r="L34" s="16" t="s">
        <v>725</v>
      </c>
    </row>
    <row r="35" spans="1:12" ht="15" customHeight="1" x14ac:dyDescent="0.45">
      <c r="A35" s="18" t="s">
        <v>770</v>
      </c>
      <c r="B35" s="18" t="s">
        <v>179</v>
      </c>
      <c r="C35" s="18" t="s">
        <v>180</v>
      </c>
      <c r="D35" s="18" t="s">
        <v>771</v>
      </c>
      <c r="E35" s="18" t="s">
        <v>433</v>
      </c>
      <c r="F35" s="18" t="s">
        <v>522</v>
      </c>
      <c r="G35" s="24">
        <v>100</v>
      </c>
      <c r="H35" s="18">
        <v>5</v>
      </c>
      <c r="I35" s="18" t="s">
        <v>724</v>
      </c>
      <c r="J35" s="18"/>
      <c r="K35" s="18">
        <v>10</v>
      </c>
      <c r="L35" s="18" t="s">
        <v>725</v>
      </c>
    </row>
    <row r="36" spans="1:12" ht="15" customHeight="1" x14ac:dyDescent="0.45">
      <c r="A36" s="16" t="s">
        <v>772</v>
      </c>
      <c r="B36" s="16" t="s">
        <v>179</v>
      </c>
      <c r="C36" s="16" t="s">
        <v>180</v>
      </c>
      <c r="D36" s="16" t="s">
        <v>296</v>
      </c>
      <c r="E36" s="16" t="s">
        <v>433</v>
      </c>
      <c r="F36" s="16" t="s">
        <v>522</v>
      </c>
      <c r="G36" s="21">
        <v>150</v>
      </c>
      <c r="H36" s="16">
        <v>6</v>
      </c>
      <c r="I36" s="16" t="s">
        <v>712</v>
      </c>
      <c r="J36" s="16" t="s">
        <v>737</v>
      </c>
      <c r="K36" s="16">
        <v>15</v>
      </c>
      <c r="L36" s="16" t="s">
        <v>714</v>
      </c>
    </row>
    <row r="37" spans="1:12" ht="15" customHeight="1" x14ac:dyDescent="0.45">
      <c r="A37" s="18" t="s">
        <v>773</v>
      </c>
      <c r="B37" s="18" t="s">
        <v>184</v>
      </c>
      <c r="C37" s="18" t="s">
        <v>185</v>
      </c>
      <c r="D37" s="18" t="s">
        <v>349</v>
      </c>
      <c r="E37" s="18" t="s">
        <v>419</v>
      </c>
      <c r="F37" s="18" t="s">
        <v>427</v>
      </c>
      <c r="G37" s="24">
        <v>25</v>
      </c>
      <c r="H37" s="18">
        <v>4</v>
      </c>
      <c r="I37" s="18" t="s">
        <v>724</v>
      </c>
      <c r="J37" s="18"/>
      <c r="K37" s="18">
        <v>20</v>
      </c>
      <c r="L37" s="18" t="s">
        <v>725</v>
      </c>
    </row>
    <row r="38" spans="1:12" ht="15" customHeight="1" x14ac:dyDescent="0.45">
      <c r="A38" s="16" t="s">
        <v>774</v>
      </c>
      <c r="B38" s="16" t="s">
        <v>184</v>
      </c>
      <c r="C38" s="16" t="s">
        <v>185</v>
      </c>
      <c r="D38" s="16" t="s">
        <v>775</v>
      </c>
      <c r="E38" s="16" t="s">
        <v>419</v>
      </c>
      <c r="F38" s="16" t="s">
        <v>420</v>
      </c>
      <c r="G38" s="21">
        <v>150</v>
      </c>
      <c r="H38" s="16">
        <v>3</v>
      </c>
      <c r="I38" s="16" t="s">
        <v>724</v>
      </c>
      <c r="J38" s="16"/>
      <c r="K38" s="16">
        <v>4</v>
      </c>
      <c r="L38" s="16" t="s">
        <v>725</v>
      </c>
    </row>
    <row r="39" spans="1:12" ht="15" customHeight="1" x14ac:dyDescent="0.45">
      <c r="A39" s="18" t="s">
        <v>776</v>
      </c>
      <c r="B39" s="18" t="s">
        <v>184</v>
      </c>
      <c r="C39" s="18" t="s">
        <v>185</v>
      </c>
      <c r="D39" s="18" t="s">
        <v>383</v>
      </c>
      <c r="E39" s="18" t="s">
        <v>419</v>
      </c>
      <c r="F39" s="18" t="s">
        <v>420</v>
      </c>
      <c r="G39" s="24">
        <v>250</v>
      </c>
      <c r="H39" s="18">
        <v>3</v>
      </c>
      <c r="I39" s="18" t="s">
        <v>724</v>
      </c>
      <c r="J39" s="18"/>
      <c r="K39" s="18">
        <v>38</v>
      </c>
      <c r="L39" s="18" t="s">
        <v>725</v>
      </c>
    </row>
    <row r="40" spans="1:12" ht="15" customHeight="1" x14ac:dyDescent="0.45">
      <c r="A40" s="16" t="s">
        <v>777</v>
      </c>
      <c r="B40" s="16" t="s">
        <v>184</v>
      </c>
      <c r="C40" s="16" t="s">
        <v>185</v>
      </c>
      <c r="D40" s="16" t="s">
        <v>574</v>
      </c>
      <c r="E40" s="16" t="s">
        <v>433</v>
      </c>
      <c r="F40" s="16" t="s">
        <v>522</v>
      </c>
      <c r="G40" s="21">
        <v>25</v>
      </c>
      <c r="H40" s="16">
        <v>6</v>
      </c>
      <c r="I40" s="16" t="s">
        <v>712</v>
      </c>
      <c r="J40" s="16" t="s">
        <v>737</v>
      </c>
      <c r="K40" s="16">
        <v>44</v>
      </c>
      <c r="L40" s="16" t="s">
        <v>720</v>
      </c>
    </row>
    <row r="41" spans="1:12" ht="15" customHeight="1" x14ac:dyDescent="0.45">
      <c r="A41" s="18" t="s">
        <v>778</v>
      </c>
      <c r="B41" s="18" t="s">
        <v>184</v>
      </c>
      <c r="C41" s="18" t="s">
        <v>185</v>
      </c>
      <c r="D41" s="18" t="s">
        <v>779</v>
      </c>
      <c r="E41" s="18" t="s">
        <v>433</v>
      </c>
      <c r="F41" s="18" t="s">
        <v>434</v>
      </c>
      <c r="G41" s="24">
        <v>150</v>
      </c>
      <c r="H41" s="18">
        <v>6</v>
      </c>
      <c r="I41" s="18" t="s">
        <v>712</v>
      </c>
      <c r="J41" s="18" t="s">
        <v>727</v>
      </c>
      <c r="K41" s="18">
        <v>18</v>
      </c>
      <c r="L41" s="18" t="s">
        <v>718</v>
      </c>
    </row>
    <row r="42" spans="1:12" ht="15" customHeight="1" x14ac:dyDescent="0.45">
      <c r="A42" s="16" t="s">
        <v>780</v>
      </c>
      <c r="B42" s="16" t="s">
        <v>184</v>
      </c>
      <c r="C42" s="16" t="s">
        <v>185</v>
      </c>
      <c r="D42" s="16" t="s">
        <v>429</v>
      </c>
      <c r="E42" s="16" t="s">
        <v>419</v>
      </c>
      <c r="F42" s="16" t="s">
        <v>420</v>
      </c>
      <c r="G42" s="21">
        <v>250</v>
      </c>
      <c r="H42" s="16">
        <v>4</v>
      </c>
      <c r="I42" s="16" t="s">
        <v>724</v>
      </c>
      <c r="J42" s="16"/>
      <c r="K42" s="16">
        <v>7</v>
      </c>
      <c r="L42" s="16" t="s">
        <v>725</v>
      </c>
    </row>
    <row r="43" spans="1:12" ht="15" customHeight="1" x14ac:dyDescent="0.45">
      <c r="A43" s="18" t="s">
        <v>781</v>
      </c>
      <c r="B43" s="18" t="s">
        <v>190</v>
      </c>
      <c r="C43" s="18" t="s">
        <v>191</v>
      </c>
      <c r="D43" s="18" t="s">
        <v>564</v>
      </c>
      <c r="E43" s="18" t="s">
        <v>433</v>
      </c>
      <c r="F43" s="18" t="s">
        <v>434</v>
      </c>
      <c r="G43" s="24">
        <v>25</v>
      </c>
      <c r="H43" s="18">
        <v>5</v>
      </c>
      <c r="I43" s="18" t="s">
        <v>724</v>
      </c>
      <c r="J43" s="18"/>
      <c r="K43" s="18">
        <v>22</v>
      </c>
      <c r="L43" s="18" t="s">
        <v>725</v>
      </c>
    </row>
    <row r="44" spans="1:12" ht="15" customHeight="1" x14ac:dyDescent="0.45">
      <c r="A44" s="16" t="s">
        <v>782</v>
      </c>
      <c r="B44" s="16" t="s">
        <v>190</v>
      </c>
      <c r="C44" s="16" t="s">
        <v>191</v>
      </c>
      <c r="D44" s="16" t="s">
        <v>783</v>
      </c>
      <c r="E44" s="16" t="s">
        <v>419</v>
      </c>
      <c r="F44" s="16" t="s">
        <v>427</v>
      </c>
      <c r="G44" s="21">
        <v>150</v>
      </c>
      <c r="H44" s="16">
        <v>5</v>
      </c>
      <c r="I44" s="16" t="s">
        <v>724</v>
      </c>
      <c r="J44" s="16"/>
      <c r="K44" s="16">
        <v>24</v>
      </c>
      <c r="L44" s="16" t="s">
        <v>725</v>
      </c>
    </row>
    <row r="45" spans="1:12" ht="15" customHeight="1" x14ac:dyDescent="0.45">
      <c r="A45" s="18" t="s">
        <v>784</v>
      </c>
      <c r="B45" s="18" t="s">
        <v>190</v>
      </c>
      <c r="C45" s="18" t="s">
        <v>191</v>
      </c>
      <c r="D45" s="18" t="s">
        <v>771</v>
      </c>
      <c r="E45" s="18" t="s">
        <v>419</v>
      </c>
      <c r="F45" s="18" t="s">
        <v>427</v>
      </c>
      <c r="G45" s="24">
        <v>50</v>
      </c>
      <c r="H45" s="18">
        <v>4</v>
      </c>
      <c r="I45" s="18" t="s">
        <v>712</v>
      </c>
      <c r="J45" s="18" t="s">
        <v>717</v>
      </c>
      <c r="K45" s="18">
        <v>27</v>
      </c>
      <c r="L45" s="18" t="s">
        <v>720</v>
      </c>
    </row>
    <row r="46" spans="1:12" ht="15" customHeight="1" x14ac:dyDescent="0.45">
      <c r="A46" s="16" t="s">
        <v>785</v>
      </c>
      <c r="B46" s="16" t="s">
        <v>190</v>
      </c>
      <c r="C46" s="16" t="s">
        <v>191</v>
      </c>
      <c r="D46" s="16" t="s">
        <v>786</v>
      </c>
      <c r="E46" s="16" t="s">
        <v>433</v>
      </c>
      <c r="F46" s="16" t="s">
        <v>522</v>
      </c>
      <c r="G46" s="21">
        <v>150</v>
      </c>
      <c r="H46" s="16">
        <v>6</v>
      </c>
      <c r="I46" s="16" t="s">
        <v>712</v>
      </c>
      <c r="J46" s="16" t="s">
        <v>787</v>
      </c>
      <c r="K46" s="16">
        <v>44</v>
      </c>
      <c r="L46" s="16" t="s">
        <v>720</v>
      </c>
    </row>
    <row r="47" spans="1:12" ht="15" customHeight="1" x14ac:dyDescent="0.45">
      <c r="A47" s="18" t="s">
        <v>788</v>
      </c>
      <c r="B47" s="18" t="s">
        <v>190</v>
      </c>
      <c r="C47" s="18" t="s">
        <v>191</v>
      </c>
      <c r="D47" s="18" t="s">
        <v>789</v>
      </c>
      <c r="E47" s="18" t="s">
        <v>433</v>
      </c>
      <c r="F47" s="18" t="s">
        <v>522</v>
      </c>
      <c r="G47" s="24">
        <v>250</v>
      </c>
      <c r="H47" s="18">
        <v>5</v>
      </c>
      <c r="I47" s="18" t="s">
        <v>724</v>
      </c>
      <c r="J47" s="18"/>
      <c r="K47" s="18">
        <v>9</v>
      </c>
      <c r="L47" s="18" t="s">
        <v>725</v>
      </c>
    </row>
    <row r="48" spans="1:12" ht="15" customHeight="1" x14ac:dyDescent="0.45">
      <c r="A48" s="16" t="s">
        <v>790</v>
      </c>
      <c r="B48" s="16" t="s">
        <v>190</v>
      </c>
      <c r="C48" s="16" t="s">
        <v>191</v>
      </c>
      <c r="D48" s="16" t="s">
        <v>791</v>
      </c>
      <c r="E48" s="16" t="s">
        <v>433</v>
      </c>
      <c r="F48" s="16" t="s">
        <v>522</v>
      </c>
      <c r="G48" s="21">
        <v>25</v>
      </c>
      <c r="H48" s="16">
        <v>4</v>
      </c>
      <c r="I48" s="16" t="s">
        <v>712</v>
      </c>
      <c r="J48" s="16" t="s">
        <v>727</v>
      </c>
      <c r="K48" s="16">
        <v>44</v>
      </c>
      <c r="L48" s="16" t="s">
        <v>720</v>
      </c>
    </row>
    <row r="49" spans="1:12" ht="25.5" x14ac:dyDescent="0.45">
      <c r="A49" s="3" t="s">
        <v>792</v>
      </c>
      <c r="B49" s="3" t="s">
        <v>197</v>
      </c>
      <c r="C49" s="3" t="s">
        <v>198</v>
      </c>
      <c r="D49" s="3" t="s">
        <v>495</v>
      </c>
      <c r="E49" s="3" t="s">
        <v>433</v>
      </c>
      <c r="F49" s="3" t="s">
        <v>611</v>
      </c>
      <c r="G49" s="3" t="s">
        <v>664</v>
      </c>
      <c r="H49" s="3" t="s">
        <v>793</v>
      </c>
      <c r="I49" s="3" t="s">
        <v>724</v>
      </c>
      <c r="J49" s="3"/>
      <c r="K49" s="3" t="s">
        <v>794</v>
      </c>
      <c r="L49" s="3" t="s">
        <v>725</v>
      </c>
    </row>
    <row r="50" spans="1:12" x14ac:dyDescent="0.45">
      <c r="A50" s="20" t="s">
        <v>795</v>
      </c>
      <c r="B50" s="20" t="s">
        <v>197</v>
      </c>
      <c r="C50" s="20" t="s">
        <v>198</v>
      </c>
      <c r="D50" s="20" t="s">
        <v>313</v>
      </c>
      <c r="E50" s="20" t="s">
        <v>439</v>
      </c>
      <c r="F50" s="20" t="s">
        <v>488</v>
      </c>
      <c r="G50" s="20" t="s">
        <v>628</v>
      </c>
      <c r="H50" s="20" t="s">
        <v>796</v>
      </c>
      <c r="I50" s="20" t="s">
        <v>712</v>
      </c>
      <c r="J50" s="20" t="s">
        <v>737</v>
      </c>
      <c r="K50" s="20" t="s">
        <v>797</v>
      </c>
      <c r="L50" s="20" t="s">
        <v>718</v>
      </c>
    </row>
    <row r="51" spans="1:12" x14ac:dyDescent="0.45">
      <c r="A51" s="3" t="s">
        <v>798</v>
      </c>
      <c r="B51" s="3" t="s">
        <v>197</v>
      </c>
      <c r="C51" s="3" t="s">
        <v>198</v>
      </c>
      <c r="D51" s="3" t="s">
        <v>317</v>
      </c>
      <c r="E51" s="3" t="s">
        <v>419</v>
      </c>
      <c r="F51" s="3" t="s">
        <v>623</v>
      </c>
      <c r="G51" s="3" t="s">
        <v>624</v>
      </c>
      <c r="H51" s="3" t="s">
        <v>796</v>
      </c>
      <c r="I51" s="3" t="s">
        <v>724</v>
      </c>
      <c r="J51" s="3"/>
      <c r="K51" s="3" t="s">
        <v>799</v>
      </c>
      <c r="L51" s="3" t="s">
        <v>725</v>
      </c>
    </row>
    <row r="52" spans="1:12" x14ac:dyDescent="0.45">
      <c r="A52" s="20" t="s">
        <v>800</v>
      </c>
      <c r="B52" s="20" t="s">
        <v>204</v>
      </c>
      <c r="C52" s="20" t="s">
        <v>153</v>
      </c>
      <c r="D52" s="20" t="s">
        <v>801</v>
      </c>
      <c r="E52" s="20" t="s">
        <v>439</v>
      </c>
      <c r="F52" s="20" t="s">
        <v>488</v>
      </c>
      <c r="G52" s="20" t="s">
        <v>652</v>
      </c>
      <c r="H52" s="20" t="s">
        <v>793</v>
      </c>
      <c r="I52" s="20" t="s">
        <v>724</v>
      </c>
      <c r="J52" s="20"/>
      <c r="K52" s="20" t="s">
        <v>802</v>
      </c>
      <c r="L52" s="20" t="s">
        <v>725</v>
      </c>
    </row>
    <row r="53" spans="1:12" x14ac:dyDescent="0.45">
      <c r="A53" s="3" t="s">
        <v>803</v>
      </c>
      <c r="B53" s="3" t="s">
        <v>204</v>
      </c>
      <c r="C53" s="3" t="s">
        <v>153</v>
      </c>
      <c r="D53" s="3" t="s">
        <v>296</v>
      </c>
      <c r="E53" s="3" t="s">
        <v>439</v>
      </c>
      <c r="F53" s="3" t="s">
        <v>440</v>
      </c>
      <c r="G53" s="3" t="s">
        <v>664</v>
      </c>
      <c r="H53" s="3" t="s">
        <v>796</v>
      </c>
      <c r="I53" s="3" t="s">
        <v>712</v>
      </c>
      <c r="J53" s="3" t="s">
        <v>737</v>
      </c>
      <c r="K53" s="3" t="s">
        <v>804</v>
      </c>
      <c r="L53" s="3" t="s">
        <v>720</v>
      </c>
    </row>
    <row r="54" spans="1:12" ht="25.5" x14ac:dyDescent="0.45">
      <c r="A54" s="20" t="s">
        <v>805</v>
      </c>
      <c r="B54" s="20" t="s">
        <v>204</v>
      </c>
      <c r="C54" s="20" t="s">
        <v>153</v>
      </c>
      <c r="D54" s="20" t="s">
        <v>454</v>
      </c>
      <c r="E54" s="20" t="s">
        <v>439</v>
      </c>
      <c r="F54" s="20" t="s">
        <v>532</v>
      </c>
      <c r="G54" s="20" t="s">
        <v>624</v>
      </c>
      <c r="H54" s="20" t="s">
        <v>796</v>
      </c>
      <c r="I54" s="20" t="s">
        <v>724</v>
      </c>
      <c r="J54" s="20"/>
      <c r="K54" s="20" t="s">
        <v>806</v>
      </c>
      <c r="L54" s="20" t="s">
        <v>725</v>
      </c>
    </row>
    <row r="55" spans="1:12" ht="25.5" x14ac:dyDescent="0.45">
      <c r="A55" s="3" t="s">
        <v>807</v>
      </c>
      <c r="B55" s="3" t="s">
        <v>205</v>
      </c>
      <c r="C55" s="3" t="s">
        <v>206</v>
      </c>
      <c r="D55" s="3" t="s">
        <v>510</v>
      </c>
      <c r="E55" s="3" t="s">
        <v>433</v>
      </c>
      <c r="F55" s="3" t="s">
        <v>611</v>
      </c>
      <c r="G55" s="3" t="s">
        <v>612</v>
      </c>
      <c r="H55" s="3" t="s">
        <v>793</v>
      </c>
      <c r="I55" s="3" t="s">
        <v>724</v>
      </c>
      <c r="J55" s="3"/>
      <c r="K55" s="3" t="s">
        <v>808</v>
      </c>
      <c r="L55" s="3" t="s">
        <v>725</v>
      </c>
    </row>
    <row r="56" spans="1:12" x14ac:dyDescent="0.45">
      <c r="A56" s="20" t="s">
        <v>809</v>
      </c>
      <c r="B56" s="20" t="s">
        <v>205</v>
      </c>
      <c r="C56" s="20" t="s">
        <v>206</v>
      </c>
      <c r="D56" s="20" t="s">
        <v>810</v>
      </c>
      <c r="E56" s="20" t="s">
        <v>419</v>
      </c>
      <c r="F56" s="20" t="s">
        <v>657</v>
      </c>
      <c r="G56" s="20" t="s">
        <v>628</v>
      </c>
      <c r="H56" s="20" t="s">
        <v>796</v>
      </c>
      <c r="I56" s="20" t="s">
        <v>712</v>
      </c>
      <c r="J56" s="20" t="s">
        <v>717</v>
      </c>
      <c r="K56" s="20" t="s">
        <v>811</v>
      </c>
      <c r="L56" s="20" t="s">
        <v>714</v>
      </c>
    </row>
    <row r="57" spans="1:12" x14ac:dyDescent="0.45">
      <c r="A57" s="3" t="s">
        <v>812</v>
      </c>
      <c r="B57" s="3" t="s">
        <v>209</v>
      </c>
      <c r="C57" s="3" t="s">
        <v>210</v>
      </c>
      <c r="D57" s="3" t="s">
        <v>255</v>
      </c>
      <c r="E57" s="3" t="s">
        <v>419</v>
      </c>
      <c r="F57" s="3" t="s">
        <v>813</v>
      </c>
      <c r="G57" s="3" t="s">
        <v>674</v>
      </c>
      <c r="H57" s="3" t="s">
        <v>793</v>
      </c>
      <c r="I57" s="3" t="s">
        <v>724</v>
      </c>
      <c r="J57" s="3"/>
      <c r="K57" s="3" t="s">
        <v>814</v>
      </c>
      <c r="L57" s="3" t="s">
        <v>725</v>
      </c>
    </row>
    <row r="58" spans="1:12" x14ac:dyDescent="0.45">
      <c r="A58" s="20" t="s">
        <v>815</v>
      </c>
      <c r="B58" s="20" t="s">
        <v>209</v>
      </c>
      <c r="C58" s="20" t="s">
        <v>210</v>
      </c>
      <c r="D58" s="20" t="s">
        <v>531</v>
      </c>
      <c r="E58" s="20" t="s">
        <v>419</v>
      </c>
      <c r="F58" s="20" t="s">
        <v>816</v>
      </c>
      <c r="G58" s="20" t="s">
        <v>624</v>
      </c>
      <c r="H58" s="20" t="s">
        <v>796</v>
      </c>
      <c r="I58" s="20" t="s">
        <v>817</v>
      </c>
      <c r="J58" s="20"/>
      <c r="K58" s="20"/>
      <c r="L58" s="20" t="s">
        <v>818</v>
      </c>
    </row>
    <row r="59" spans="1:12" ht="25.5" x14ac:dyDescent="0.45">
      <c r="A59" s="3" t="s">
        <v>819</v>
      </c>
      <c r="B59" s="3" t="s">
        <v>213</v>
      </c>
      <c r="C59" s="3" t="s">
        <v>214</v>
      </c>
      <c r="D59" s="3" t="s">
        <v>463</v>
      </c>
      <c r="E59" s="3" t="s">
        <v>433</v>
      </c>
      <c r="F59" s="3" t="s">
        <v>611</v>
      </c>
      <c r="G59" s="3" t="s">
        <v>664</v>
      </c>
      <c r="H59" s="3" t="s">
        <v>802</v>
      </c>
      <c r="I59" s="3" t="s">
        <v>712</v>
      </c>
      <c r="J59" s="3" t="s">
        <v>737</v>
      </c>
      <c r="K59" s="3" t="s">
        <v>793</v>
      </c>
      <c r="L59" s="3" t="s">
        <v>718</v>
      </c>
    </row>
    <row r="60" spans="1:12" x14ac:dyDescent="0.45">
      <c r="A60" s="20" t="s">
        <v>820</v>
      </c>
      <c r="B60" s="20" t="s">
        <v>213</v>
      </c>
      <c r="C60" s="20" t="s">
        <v>214</v>
      </c>
      <c r="D60" s="20" t="s">
        <v>716</v>
      </c>
      <c r="E60" s="20" t="s">
        <v>439</v>
      </c>
      <c r="F60" s="20" t="s">
        <v>488</v>
      </c>
      <c r="G60" s="20" t="s">
        <v>695</v>
      </c>
      <c r="H60" s="20" t="s">
        <v>796</v>
      </c>
      <c r="I60" s="20" t="s">
        <v>724</v>
      </c>
      <c r="J60" s="20"/>
      <c r="K60" s="20" t="s">
        <v>804</v>
      </c>
      <c r="L60" s="20" t="s">
        <v>725</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6"/>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8" customWidth="1"/>
    <col min="4" max="4" width="18" customWidth="1"/>
    <col min="5" max="5" width="15" customWidth="1"/>
    <col min="6" max="7" width="11" customWidth="1"/>
    <col min="8" max="8" width="14" customWidth="1"/>
    <col min="9" max="9" width="10" customWidth="1"/>
    <col min="10" max="10" width="20" customWidth="1"/>
  </cols>
  <sheetData>
    <row r="1" spans="1:10" ht="23.25" customHeight="1" x14ac:dyDescent="0.45">
      <c r="A1" s="15" t="s">
        <v>131</v>
      </c>
      <c r="B1" s="15" t="s">
        <v>132</v>
      </c>
      <c r="C1" s="15" t="s">
        <v>821</v>
      </c>
      <c r="D1" s="15" t="s">
        <v>822</v>
      </c>
      <c r="E1" s="15" t="s">
        <v>823</v>
      </c>
      <c r="F1" s="15" t="s">
        <v>824</v>
      </c>
      <c r="G1" s="15" t="s">
        <v>825</v>
      </c>
      <c r="H1" s="15" t="s">
        <v>826</v>
      </c>
      <c r="I1" s="15" t="s">
        <v>827</v>
      </c>
      <c r="J1" s="15" t="s">
        <v>828</v>
      </c>
    </row>
    <row r="2" spans="1:10" ht="15" customHeight="1" x14ac:dyDescent="0.45">
      <c r="A2" s="16" t="s">
        <v>142</v>
      </c>
      <c r="B2" s="16" t="s">
        <v>143</v>
      </c>
      <c r="C2" s="16" t="s">
        <v>829</v>
      </c>
      <c r="D2" s="16" t="s">
        <v>439</v>
      </c>
      <c r="E2" s="21">
        <v>332.6</v>
      </c>
      <c r="F2" s="16">
        <v>20</v>
      </c>
      <c r="G2" s="27">
        <v>30.5</v>
      </c>
      <c r="H2" s="21">
        <v>107.5</v>
      </c>
      <c r="I2" s="27">
        <v>17.399999999999999</v>
      </c>
      <c r="J2" s="27">
        <v>30.4</v>
      </c>
    </row>
    <row r="3" spans="1:10" ht="15" customHeight="1" x14ac:dyDescent="0.45">
      <c r="A3" s="18" t="s">
        <v>142</v>
      </c>
      <c r="B3" s="18" t="s">
        <v>143</v>
      </c>
      <c r="C3" s="18" t="s">
        <v>829</v>
      </c>
      <c r="D3" s="18" t="s">
        <v>433</v>
      </c>
      <c r="E3" s="24">
        <v>1128.8</v>
      </c>
      <c r="F3" s="18">
        <v>28</v>
      </c>
      <c r="G3" s="28">
        <v>53.3</v>
      </c>
      <c r="H3" s="24">
        <v>346.2</v>
      </c>
      <c r="I3" s="28">
        <v>20.5</v>
      </c>
      <c r="J3" s="28">
        <v>19.100000000000001</v>
      </c>
    </row>
    <row r="4" spans="1:10" ht="15" customHeight="1" x14ac:dyDescent="0.45">
      <c r="A4" s="16" t="s">
        <v>142</v>
      </c>
      <c r="B4" s="16" t="s">
        <v>143</v>
      </c>
      <c r="C4" s="16" t="s">
        <v>829</v>
      </c>
      <c r="D4" s="16" t="s">
        <v>419</v>
      </c>
      <c r="E4" s="21">
        <v>810</v>
      </c>
      <c r="F4" s="16">
        <v>8</v>
      </c>
      <c r="G4" s="27">
        <v>26.7</v>
      </c>
      <c r="H4" s="21">
        <v>260.10000000000002</v>
      </c>
      <c r="I4" s="27">
        <v>12.7</v>
      </c>
      <c r="J4" s="27">
        <v>11.1</v>
      </c>
    </row>
    <row r="5" spans="1:10" ht="15" customHeight="1" x14ac:dyDescent="0.45">
      <c r="A5" s="18" t="s">
        <v>142</v>
      </c>
      <c r="B5" s="18" t="s">
        <v>143</v>
      </c>
      <c r="C5" s="18" t="s">
        <v>829</v>
      </c>
      <c r="D5" s="18" t="s">
        <v>830</v>
      </c>
      <c r="E5" s="24">
        <v>348.5</v>
      </c>
      <c r="F5" s="18">
        <v>10</v>
      </c>
      <c r="G5" s="28">
        <v>46.1</v>
      </c>
      <c r="H5" s="24">
        <v>113.6</v>
      </c>
      <c r="I5" s="28">
        <v>10.3</v>
      </c>
      <c r="J5" s="28">
        <v>9.1999999999999993</v>
      </c>
    </row>
    <row r="6" spans="1:10" ht="15" customHeight="1" x14ac:dyDescent="0.45">
      <c r="A6" s="16" t="s">
        <v>142</v>
      </c>
      <c r="B6" s="16" t="s">
        <v>143</v>
      </c>
      <c r="C6" s="16" t="s">
        <v>829</v>
      </c>
      <c r="D6" s="16" t="s">
        <v>831</v>
      </c>
      <c r="E6" s="21">
        <v>562.70000000000005</v>
      </c>
      <c r="F6" s="16">
        <v>5</v>
      </c>
      <c r="G6" s="27">
        <v>19.7</v>
      </c>
      <c r="H6" s="21">
        <v>196.4</v>
      </c>
      <c r="I6" s="27">
        <v>12.8</v>
      </c>
      <c r="J6" s="27">
        <v>15.6</v>
      </c>
    </row>
    <row r="7" spans="1:10" ht="15" customHeight="1" x14ac:dyDescent="0.45">
      <c r="A7" s="18" t="s">
        <v>142</v>
      </c>
      <c r="B7" s="18" t="s">
        <v>143</v>
      </c>
      <c r="C7" s="18" t="s">
        <v>832</v>
      </c>
      <c r="D7" s="18" t="s">
        <v>439</v>
      </c>
      <c r="E7" s="24">
        <v>429.4</v>
      </c>
      <c r="F7" s="18">
        <v>30</v>
      </c>
      <c r="G7" s="28">
        <v>38.9</v>
      </c>
      <c r="H7" s="24">
        <v>149.5</v>
      </c>
      <c r="I7" s="28">
        <v>11.2</v>
      </c>
      <c r="J7" s="28">
        <v>6.4</v>
      </c>
    </row>
    <row r="8" spans="1:10" ht="15" customHeight="1" x14ac:dyDescent="0.45">
      <c r="A8" s="16" t="s">
        <v>142</v>
      </c>
      <c r="B8" s="16" t="s">
        <v>143</v>
      </c>
      <c r="C8" s="16" t="s">
        <v>832</v>
      </c>
      <c r="D8" s="16" t="s">
        <v>433</v>
      </c>
      <c r="E8" s="21">
        <v>1216.5999999999999</v>
      </c>
      <c r="F8" s="16">
        <v>19</v>
      </c>
      <c r="G8" s="27">
        <v>36.4</v>
      </c>
      <c r="H8" s="21">
        <v>359.9</v>
      </c>
      <c r="I8" s="27">
        <v>12</v>
      </c>
      <c r="J8" s="27">
        <v>23.8</v>
      </c>
    </row>
    <row r="9" spans="1:10" ht="15" customHeight="1" x14ac:dyDescent="0.45">
      <c r="A9" s="18" t="s">
        <v>142</v>
      </c>
      <c r="B9" s="18" t="s">
        <v>143</v>
      </c>
      <c r="C9" s="18" t="s">
        <v>832</v>
      </c>
      <c r="D9" s="18" t="s">
        <v>419</v>
      </c>
      <c r="E9" s="24">
        <v>770.2</v>
      </c>
      <c r="F9" s="18">
        <v>4</v>
      </c>
      <c r="G9" s="28">
        <v>51.3</v>
      </c>
      <c r="H9" s="24">
        <v>205.1</v>
      </c>
      <c r="I9" s="28">
        <v>12.7</v>
      </c>
      <c r="J9" s="28">
        <v>20.9</v>
      </c>
    </row>
    <row r="10" spans="1:10" ht="15" customHeight="1" x14ac:dyDescent="0.45">
      <c r="A10" s="16" t="s">
        <v>142</v>
      </c>
      <c r="B10" s="16" t="s">
        <v>143</v>
      </c>
      <c r="C10" s="16" t="s">
        <v>832</v>
      </c>
      <c r="D10" s="16" t="s">
        <v>830</v>
      </c>
      <c r="E10" s="21">
        <v>351.5</v>
      </c>
      <c r="F10" s="16">
        <v>26</v>
      </c>
      <c r="G10" s="27">
        <v>54.5</v>
      </c>
      <c r="H10" s="21">
        <v>79</v>
      </c>
      <c r="I10" s="27">
        <v>21.5</v>
      </c>
      <c r="J10" s="27">
        <v>25.4</v>
      </c>
    </row>
    <row r="11" spans="1:10" ht="15" customHeight="1" x14ac:dyDescent="0.45">
      <c r="A11" s="18" t="s">
        <v>142</v>
      </c>
      <c r="B11" s="18" t="s">
        <v>143</v>
      </c>
      <c r="C11" s="18" t="s">
        <v>832</v>
      </c>
      <c r="D11" s="18" t="s">
        <v>831</v>
      </c>
      <c r="E11" s="24">
        <v>767.2</v>
      </c>
      <c r="F11" s="18">
        <v>23</v>
      </c>
      <c r="G11" s="28">
        <v>25.4</v>
      </c>
      <c r="H11" s="24">
        <v>188.9</v>
      </c>
      <c r="I11" s="28">
        <v>15.3</v>
      </c>
      <c r="J11" s="28">
        <v>11.4</v>
      </c>
    </row>
    <row r="12" spans="1:10" ht="15" customHeight="1" x14ac:dyDescent="0.45">
      <c r="A12" s="16" t="s">
        <v>142</v>
      </c>
      <c r="B12" s="16" t="s">
        <v>143</v>
      </c>
      <c r="C12" s="16" t="s">
        <v>833</v>
      </c>
      <c r="D12" s="16" t="s">
        <v>439</v>
      </c>
      <c r="E12" s="21">
        <v>942.6</v>
      </c>
      <c r="F12" s="16">
        <v>22</v>
      </c>
      <c r="G12" s="27">
        <v>54.7</v>
      </c>
      <c r="H12" s="21">
        <v>211</v>
      </c>
      <c r="I12" s="27">
        <v>21.7</v>
      </c>
      <c r="J12" s="27">
        <v>24.4</v>
      </c>
    </row>
    <row r="13" spans="1:10" ht="15" customHeight="1" x14ac:dyDescent="0.45">
      <c r="A13" s="18" t="s">
        <v>142</v>
      </c>
      <c r="B13" s="18" t="s">
        <v>143</v>
      </c>
      <c r="C13" s="18" t="s">
        <v>833</v>
      </c>
      <c r="D13" s="18" t="s">
        <v>433</v>
      </c>
      <c r="E13" s="24">
        <v>601.5</v>
      </c>
      <c r="F13" s="18">
        <v>7</v>
      </c>
      <c r="G13" s="28">
        <v>51.7</v>
      </c>
      <c r="H13" s="24">
        <v>202.3</v>
      </c>
      <c r="I13" s="28">
        <v>19.8</v>
      </c>
      <c r="J13" s="28">
        <v>32</v>
      </c>
    </row>
    <row r="14" spans="1:10" ht="15" customHeight="1" x14ac:dyDescent="0.45">
      <c r="A14" s="16" t="s">
        <v>142</v>
      </c>
      <c r="B14" s="16" t="s">
        <v>143</v>
      </c>
      <c r="C14" s="16" t="s">
        <v>833</v>
      </c>
      <c r="D14" s="16" t="s">
        <v>419</v>
      </c>
      <c r="E14" s="21">
        <v>1176.4000000000001</v>
      </c>
      <c r="F14" s="16">
        <v>18</v>
      </c>
      <c r="G14" s="27">
        <v>40.5</v>
      </c>
      <c r="H14" s="21">
        <v>280.10000000000002</v>
      </c>
      <c r="I14" s="27">
        <v>17.3</v>
      </c>
      <c r="J14" s="27">
        <v>23.2</v>
      </c>
    </row>
    <row r="15" spans="1:10" ht="15" customHeight="1" x14ac:dyDescent="0.45">
      <c r="A15" s="18" t="s">
        <v>142</v>
      </c>
      <c r="B15" s="18" t="s">
        <v>143</v>
      </c>
      <c r="C15" s="18" t="s">
        <v>833</v>
      </c>
      <c r="D15" s="18" t="s">
        <v>830</v>
      </c>
      <c r="E15" s="24">
        <v>1064</v>
      </c>
      <c r="F15" s="18">
        <v>12</v>
      </c>
      <c r="G15" s="28">
        <v>41.2</v>
      </c>
      <c r="H15" s="24">
        <v>399.9</v>
      </c>
      <c r="I15" s="28">
        <v>17.399999999999999</v>
      </c>
      <c r="J15" s="28">
        <v>13.6</v>
      </c>
    </row>
    <row r="16" spans="1:10" ht="15" customHeight="1" x14ac:dyDescent="0.45">
      <c r="A16" s="16" t="s">
        <v>142</v>
      </c>
      <c r="B16" s="16" t="s">
        <v>143</v>
      </c>
      <c r="C16" s="16" t="s">
        <v>833</v>
      </c>
      <c r="D16" s="16" t="s">
        <v>831</v>
      </c>
      <c r="E16" s="21">
        <v>792.3</v>
      </c>
      <c r="F16" s="16">
        <v>27</v>
      </c>
      <c r="G16" s="27">
        <v>45.1</v>
      </c>
      <c r="H16" s="21">
        <v>136.69999999999999</v>
      </c>
      <c r="I16" s="27">
        <v>12.8</v>
      </c>
      <c r="J16" s="27">
        <v>27.2</v>
      </c>
    </row>
    <row r="17" spans="1:10" ht="15" customHeight="1" x14ac:dyDescent="0.45">
      <c r="A17" s="18" t="s">
        <v>152</v>
      </c>
      <c r="B17" s="18" t="s">
        <v>153</v>
      </c>
      <c r="C17" s="18" t="s">
        <v>829</v>
      </c>
      <c r="D17" s="18" t="s">
        <v>439</v>
      </c>
      <c r="E17" s="24">
        <v>558.4</v>
      </c>
      <c r="F17" s="18">
        <v>12</v>
      </c>
      <c r="G17" s="28">
        <v>47.1</v>
      </c>
      <c r="H17" s="24">
        <v>206.1</v>
      </c>
      <c r="I17" s="28">
        <v>13.8</v>
      </c>
      <c r="J17" s="28">
        <v>19.600000000000001</v>
      </c>
    </row>
    <row r="18" spans="1:10" ht="15" customHeight="1" x14ac:dyDescent="0.45">
      <c r="A18" s="16" t="s">
        <v>152</v>
      </c>
      <c r="B18" s="16" t="s">
        <v>153</v>
      </c>
      <c r="C18" s="16" t="s">
        <v>829</v>
      </c>
      <c r="D18" s="16" t="s">
        <v>433</v>
      </c>
      <c r="E18" s="21">
        <v>685.6</v>
      </c>
      <c r="F18" s="16">
        <v>14</v>
      </c>
      <c r="G18" s="27">
        <v>27.5</v>
      </c>
      <c r="H18" s="21">
        <v>244.2</v>
      </c>
      <c r="I18" s="27">
        <v>15.3</v>
      </c>
      <c r="J18" s="27">
        <v>29</v>
      </c>
    </row>
    <row r="19" spans="1:10" ht="15" customHeight="1" x14ac:dyDescent="0.45">
      <c r="A19" s="18" t="s">
        <v>152</v>
      </c>
      <c r="B19" s="18" t="s">
        <v>153</v>
      </c>
      <c r="C19" s="18" t="s">
        <v>829</v>
      </c>
      <c r="D19" s="18" t="s">
        <v>419</v>
      </c>
      <c r="E19" s="24">
        <v>1307.5</v>
      </c>
      <c r="F19" s="18">
        <v>25</v>
      </c>
      <c r="G19" s="28">
        <v>47.8</v>
      </c>
      <c r="H19" s="24">
        <v>349.2</v>
      </c>
      <c r="I19" s="28">
        <v>10</v>
      </c>
      <c r="J19" s="28">
        <v>27.4</v>
      </c>
    </row>
    <row r="20" spans="1:10" ht="15" customHeight="1" x14ac:dyDescent="0.45">
      <c r="A20" s="16" t="s">
        <v>152</v>
      </c>
      <c r="B20" s="16" t="s">
        <v>153</v>
      </c>
      <c r="C20" s="16" t="s">
        <v>829</v>
      </c>
      <c r="D20" s="16" t="s">
        <v>830</v>
      </c>
      <c r="E20" s="21">
        <v>624</v>
      </c>
      <c r="F20" s="16">
        <v>29</v>
      </c>
      <c r="G20" s="27">
        <v>53.8</v>
      </c>
      <c r="H20" s="21">
        <v>219.1</v>
      </c>
      <c r="I20" s="27">
        <v>13.8</v>
      </c>
      <c r="J20" s="27">
        <v>28.5</v>
      </c>
    </row>
    <row r="21" spans="1:10" ht="15" customHeight="1" x14ac:dyDescent="0.45">
      <c r="A21" s="18" t="s">
        <v>152</v>
      </c>
      <c r="B21" s="18" t="s">
        <v>153</v>
      </c>
      <c r="C21" s="18" t="s">
        <v>829</v>
      </c>
      <c r="D21" s="18" t="s">
        <v>831</v>
      </c>
      <c r="E21" s="24">
        <v>346.3</v>
      </c>
      <c r="F21" s="18">
        <v>11</v>
      </c>
      <c r="G21" s="28">
        <v>34.799999999999997</v>
      </c>
      <c r="H21" s="24">
        <v>110.2</v>
      </c>
      <c r="I21" s="28">
        <v>17.7</v>
      </c>
      <c r="J21" s="28">
        <v>22.1</v>
      </c>
    </row>
    <row r="22" spans="1:10" ht="15" customHeight="1" x14ac:dyDescent="0.45">
      <c r="A22" s="16" t="s">
        <v>152</v>
      </c>
      <c r="B22" s="16" t="s">
        <v>153</v>
      </c>
      <c r="C22" s="16" t="s">
        <v>832</v>
      </c>
      <c r="D22" s="16" t="s">
        <v>439</v>
      </c>
      <c r="E22" s="21">
        <v>1491.4</v>
      </c>
      <c r="F22" s="16">
        <v>27</v>
      </c>
      <c r="G22" s="27">
        <v>22</v>
      </c>
      <c r="H22" s="21">
        <v>310.89999999999998</v>
      </c>
      <c r="I22" s="27">
        <v>9.3000000000000007</v>
      </c>
      <c r="J22" s="27">
        <v>31.4</v>
      </c>
    </row>
    <row r="23" spans="1:10" ht="15" customHeight="1" x14ac:dyDescent="0.45">
      <c r="A23" s="18" t="s">
        <v>152</v>
      </c>
      <c r="B23" s="18" t="s">
        <v>153</v>
      </c>
      <c r="C23" s="18" t="s">
        <v>832</v>
      </c>
      <c r="D23" s="18" t="s">
        <v>433</v>
      </c>
      <c r="E23" s="24">
        <v>1128.4000000000001</v>
      </c>
      <c r="F23" s="18">
        <v>18</v>
      </c>
      <c r="G23" s="28">
        <v>42</v>
      </c>
      <c r="H23" s="24">
        <v>348.5</v>
      </c>
      <c r="I23" s="28">
        <v>15</v>
      </c>
      <c r="J23" s="28">
        <v>25.7</v>
      </c>
    </row>
    <row r="24" spans="1:10" ht="15" customHeight="1" x14ac:dyDescent="0.45">
      <c r="A24" s="16" t="s">
        <v>152</v>
      </c>
      <c r="B24" s="16" t="s">
        <v>153</v>
      </c>
      <c r="C24" s="16" t="s">
        <v>832</v>
      </c>
      <c r="D24" s="16" t="s">
        <v>419</v>
      </c>
      <c r="E24" s="21">
        <v>1250.5999999999999</v>
      </c>
      <c r="F24" s="16">
        <v>11</v>
      </c>
      <c r="G24" s="27">
        <v>23.2</v>
      </c>
      <c r="H24" s="21">
        <v>483.4</v>
      </c>
      <c r="I24" s="27">
        <v>13</v>
      </c>
      <c r="J24" s="27">
        <v>19.3</v>
      </c>
    </row>
    <row r="25" spans="1:10" ht="15" customHeight="1" x14ac:dyDescent="0.45">
      <c r="A25" s="18" t="s">
        <v>152</v>
      </c>
      <c r="B25" s="18" t="s">
        <v>153</v>
      </c>
      <c r="C25" s="18" t="s">
        <v>832</v>
      </c>
      <c r="D25" s="18" t="s">
        <v>830</v>
      </c>
      <c r="E25" s="24">
        <v>482.8</v>
      </c>
      <c r="F25" s="18">
        <v>12</v>
      </c>
      <c r="G25" s="28">
        <v>32.4</v>
      </c>
      <c r="H25" s="24">
        <v>117.2</v>
      </c>
      <c r="I25" s="28">
        <v>21.3</v>
      </c>
      <c r="J25" s="28">
        <v>25.6</v>
      </c>
    </row>
    <row r="26" spans="1:10" ht="15" customHeight="1" x14ac:dyDescent="0.45">
      <c r="A26" s="16" t="s">
        <v>152</v>
      </c>
      <c r="B26" s="16" t="s">
        <v>153</v>
      </c>
      <c r="C26" s="16" t="s">
        <v>832</v>
      </c>
      <c r="D26" s="16" t="s">
        <v>831</v>
      </c>
      <c r="E26" s="21">
        <v>1098.9000000000001</v>
      </c>
      <c r="F26" s="16">
        <v>13</v>
      </c>
      <c r="G26" s="27">
        <v>50.8</v>
      </c>
      <c r="H26" s="21">
        <v>344.8</v>
      </c>
      <c r="I26" s="27">
        <v>19.8</v>
      </c>
      <c r="J26" s="27">
        <v>23.1</v>
      </c>
    </row>
    <row r="27" spans="1:10" ht="15" customHeight="1" x14ac:dyDescent="0.45">
      <c r="A27" s="18" t="s">
        <v>152</v>
      </c>
      <c r="B27" s="18" t="s">
        <v>153</v>
      </c>
      <c r="C27" s="18" t="s">
        <v>833</v>
      </c>
      <c r="D27" s="18" t="s">
        <v>439</v>
      </c>
      <c r="E27" s="24">
        <v>1747.2</v>
      </c>
      <c r="F27" s="18">
        <v>21</v>
      </c>
      <c r="G27" s="28">
        <v>19.2</v>
      </c>
      <c r="H27" s="24">
        <v>423.9</v>
      </c>
      <c r="I27" s="28">
        <v>14.8</v>
      </c>
      <c r="J27" s="28">
        <v>33.5</v>
      </c>
    </row>
    <row r="28" spans="1:10" ht="15" customHeight="1" x14ac:dyDescent="0.45">
      <c r="A28" s="16" t="s">
        <v>152</v>
      </c>
      <c r="B28" s="16" t="s">
        <v>153</v>
      </c>
      <c r="C28" s="16" t="s">
        <v>833</v>
      </c>
      <c r="D28" s="16" t="s">
        <v>433</v>
      </c>
      <c r="E28" s="21">
        <v>1624.4</v>
      </c>
      <c r="F28" s="16">
        <v>10</v>
      </c>
      <c r="G28" s="27">
        <v>54.3</v>
      </c>
      <c r="H28" s="21">
        <v>392.8</v>
      </c>
      <c r="I28" s="27">
        <v>20.7</v>
      </c>
      <c r="J28" s="27">
        <v>24</v>
      </c>
    </row>
    <row r="29" spans="1:10" ht="15" customHeight="1" x14ac:dyDescent="0.45">
      <c r="A29" s="18" t="s">
        <v>152</v>
      </c>
      <c r="B29" s="18" t="s">
        <v>153</v>
      </c>
      <c r="C29" s="18" t="s">
        <v>833</v>
      </c>
      <c r="D29" s="18" t="s">
        <v>419</v>
      </c>
      <c r="E29" s="24">
        <v>456.3</v>
      </c>
      <c r="F29" s="18">
        <v>21</v>
      </c>
      <c r="G29" s="28">
        <v>25</v>
      </c>
      <c r="H29" s="24">
        <v>82.4</v>
      </c>
      <c r="I29" s="28">
        <v>20</v>
      </c>
      <c r="J29" s="28">
        <v>18.100000000000001</v>
      </c>
    </row>
    <row r="30" spans="1:10" ht="15" customHeight="1" x14ac:dyDescent="0.45">
      <c r="A30" s="16" t="s">
        <v>152</v>
      </c>
      <c r="B30" s="16" t="s">
        <v>153</v>
      </c>
      <c r="C30" s="16" t="s">
        <v>833</v>
      </c>
      <c r="D30" s="16" t="s">
        <v>830</v>
      </c>
      <c r="E30" s="21">
        <v>1341.3</v>
      </c>
      <c r="F30" s="16">
        <v>5</v>
      </c>
      <c r="G30" s="27">
        <v>19.899999999999999</v>
      </c>
      <c r="H30" s="21">
        <v>313</v>
      </c>
      <c r="I30" s="27">
        <v>21.9</v>
      </c>
      <c r="J30" s="27">
        <v>28.4</v>
      </c>
    </row>
    <row r="31" spans="1:10" ht="15" customHeight="1" x14ac:dyDescent="0.45">
      <c r="A31" s="18" t="s">
        <v>152</v>
      </c>
      <c r="B31" s="18" t="s">
        <v>153</v>
      </c>
      <c r="C31" s="18" t="s">
        <v>833</v>
      </c>
      <c r="D31" s="18" t="s">
        <v>831</v>
      </c>
      <c r="E31" s="24">
        <v>668.9</v>
      </c>
      <c r="F31" s="18">
        <v>17</v>
      </c>
      <c r="G31" s="28">
        <v>39.700000000000003</v>
      </c>
      <c r="H31" s="24">
        <v>236.3</v>
      </c>
      <c r="I31" s="28">
        <v>12</v>
      </c>
      <c r="J31" s="28">
        <v>28</v>
      </c>
    </row>
    <row r="32" spans="1:10" ht="15" customHeight="1" x14ac:dyDescent="0.45">
      <c r="A32" s="16" t="s">
        <v>161</v>
      </c>
      <c r="B32" s="16" t="s">
        <v>162</v>
      </c>
      <c r="C32" s="16" t="s">
        <v>829</v>
      </c>
      <c r="D32" s="16" t="s">
        <v>439</v>
      </c>
      <c r="E32" s="21">
        <v>1728.3</v>
      </c>
      <c r="F32" s="16">
        <v>4</v>
      </c>
      <c r="G32" s="27">
        <v>28.3</v>
      </c>
      <c r="H32" s="21">
        <v>684.4</v>
      </c>
      <c r="I32" s="27">
        <v>21.8</v>
      </c>
      <c r="J32" s="27">
        <v>20.7</v>
      </c>
    </row>
    <row r="33" spans="1:10" ht="15" customHeight="1" x14ac:dyDescent="0.45">
      <c r="A33" s="18" t="s">
        <v>161</v>
      </c>
      <c r="B33" s="18" t="s">
        <v>162</v>
      </c>
      <c r="C33" s="18" t="s">
        <v>829</v>
      </c>
      <c r="D33" s="18" t="s">
        <v>433</v>
      </c>
      <c r="E33" s="24">
        <v>1744.7</v>
      </c>
      <c r="F33" s="18">
        <v>11</v>
      </c>
      <c r="G33" s="28">
        <v>42.5</v>
      </c>
      <c r="H33" s="24">
        <v>272.89999999999998</v>
      </c>
      <c r="I33" s="28">
        <v>9.1999999999999993</v>
      </c>
      <c r="J33" s="28">
        <v>28.5</v>
      </c>
    </row>
    <row r="34" spans="1:10" ht="15" customHeight="1" x14ac:dyDescent="0.45">
      <c r="A34" s="16" t="s">
        <v>161</v>
      </c>
      <c r="B34" s="16" t="s">
        <v>162</v>
      </c>
      <c r="C34" s="16" t="s">
        <v>829</v>
      </c>
      <c r="D34" s="16" t="s">
        <v>419</v>
      </c>
      <c r="E34" s="21">
        <v>811.9</v>
      </c>
      <c r="F34" s="16">
        <v>24</v>
      </c>
      <c r="G34" s="27">
        <v>18.600000000000001</v>
      </c>
      <c r="H34" s="21">
        <v>175.6</v>
      </c>
      <c r="I34" s="27">
        <v>10.6</v>
      </c>
      <c r="J34" s="27">
        <v>17</v>
      </c>
    </row>
    <row r="35" spans="1:10" ht="15" customHeight="1" x14ac:dyDescent="0.45">
      <c r="A35" s="18" t="s">
        <v>161</v>
      </c>
      <c r="B35" s="18" t="s">
        <v>162</v>
      </c>
      <c r="C35" s="18" t="s">
        <v>829</v>
      </c>
      <c r="D35" s="18" t="s">
        <v>830</v>
      </c>
      <c r="E35" s="24">
        <v>605.1</v>
      </c>
      <c r="F35" s="18">
        <v>8</v>
      </c>
      <c r="G35" s="28">
        <v>35.6</v>
      </c>
      <c r="H35" s="24">
        <v>208.5</v>
      </c>
      <c r="I35" s="28">
        <v>15.7</v>
      </c>
      <c r="J35" s="28">
        <v>7.4</v>
      </c>
    </row>
    <row r="36" spans="1:10" ht="15" customHeight="1" x14ac:dyDescent="0.45">
      <c r="A36" s="16" t="s">
        <v>161</v>
      </c>
      <c r="B36" s="16" t="s">
        <v>162</v>
      </c>
      <c r="C36" s="16" t="s">
        <v>829</v>
      </c>
      <c r="D36" s="16" t="s">
        <v>831</v>
      </c>
      <c r="E36" s="21">
        <v>1254.4000000000001</v>
      </c>
      <c r="F36" s="16">
        <v>6</v>
      </c>
      <c r="G36" s="27">
        <v>44.9</v>
      </c>
      <c r="H36" s="21">
        <v>473.1</v>
      </c>
      <c r="I36" s="27">
        <v>17.600000000000001</v>
      </c>
      <c r="J36" s="27">
        <v>13.4</v>
      </c>
    </row>
    <row r="37" spans="1:10" ht="15" customHeight="1" x14ac:dyDescent="0.45">
      <c r="A37" s="18" t="s">
        <v>161</v>
      </c>
      <c r="B37" s="18" t="s">
        <v>162</v>
      </c>
      <c r="C37" s="18" t="s">
        <v>832</v>
      </c>
      <c r="D37" s="18" t="s">
        <v>439</v>
      </c>
      <c r="E37" s="24">
        <v>1575.7</v>
      </c>
      <c r="F37" s="18">
        <v>5</v>
      </c>
      <c r="G37" s="28">
        <v>20.3</v>
      </c>
      <c r="H37" s="24">
        <v>425</v>
      </c>
      <c r="I37" s="28">
        <v>14.2</v>
      </c>
      <c r="J37" s="28">
        <v>25.3</v>
      </c>
    </row>
    <row r="38" spans="1:10" ht="15" customHeight="1" x14ac:dyDescent="0.45">
      <c r="A38" s="16" t="s">
        <v>161</v>
      </c>
      <c r="B38" s="16" t="s">
        <v>162</v>
      </c>
      <c r="C38" s="16" t="s">
        <v>832</v>
      </c>
      <c r="D38" s="16" t="s">
        <v>433</v>
      </c>
      <c r="E38" s="21">
        <v>1305.7</v>
      </c>
      <c r="F38" s="16">
        <v>32</v>
      </c>
      <c r="G38" s="27">
        <v>20.7</v>
      </c>
      <c r="H38" s="21">
        <v>222.2</v>
      </c>
      <c r="I38" s="27">
        <v>16.899999999999999</v>
      </c>
      <c r="J38" s="27">
        <v>6</v>
      </c>
    </row>
    <row r="39" spans="1:10" ht="15" customHeight="1" x14ac:dyDescent="0.45">
      <c r="A39" s="18" t="s">
        <v>161</v>
      </c>
      <c r="B39" s="18" t="s">
        <v>162</v>
      </c>
      <c r="C39" s="18" t="s">
        <v>832</v>
      </c>
      <c r="D39" s="18" t="s">
        <v>419</v>
      </c>
      <c r="E39" s="24">
        <v>926</v>
      </c>
      <c r="F39" s="18">
        <v>24</v>
      </c>
      <c r="G39" s="28">
        <v>32.1</v>
      </c>
      <c r="H39" s="24">
        <v>277.2</v>
      </c>
      <c r="I39" s="28">
        <v>12.8</v>
      </c>
      <c r="J39" s="28">
        <v>19.7</v>
      </c>
    </row>
    <row r="40" spans="1:10" ht="15" customHeight="1" x14ac:dyDescent="0.45">
      <c r="A40" s="16" t="s">
        <v>161</v>
      </c>
      <c r="B40" s="16" t="s">
        <v>162</v>
      </c>
      <c r="C40" s="16" t="s">
        <v>832</v>
      </c>
      <c r="D40" s="16" t="s">
        <v>830</v>
      </c>
      <c r="E40" s="21">
        <v>1199.8</v>
      </c>
      <c r="F40" s="16">
        <v>11</v>
      </c>
      <c r="G40" s="27">
        <v>49.6</v>
      </c>
      <c r="H40" s="21">
        <v>375.2</v>
      </c>
      <c r="I40" s="27">
        <v>19</v>
      </c>
      <c r="J40" s="27">
        <v>26.3</v>
      </c>
    </row>
    <row r="41" spans="1:10" ht="15" customHeight="1" x14ac:dyDescent="0.45">
      <c r="A41" s="18" t="s">
        <v>161</v>
      </c>
      <c r="B41" s="18" t="s">
        <v>162</v>
      </c>
      <c r="C41" s="18" t="s">
        <v>832</v>
      </c>
      <c r="D41" s="18" t="s">
        <v>831</v>
      </c>
      <c r="E41" s="24">
        <v>820.2</v>
      </c>
      <c r="F41" s="18">
        <v>32</v>
      </c>
      <c r="G41" s="28">
        <v>50.9</v>
      </c>
      <c r="H41" s="24">
        <v>207.9</v>
      </c>
      <c r="I41" s="28">
        <v>19.8</v>
      </c>
      <c r="J41" s="28">
        <v>16.399999999999999</v>
      </c>
    </row>
    <row r="42" spans="1:10" ht="15" customHeight="1" x14ac:dyDescent="0.45">
      <c r="A42" s="16" t="s">
        <v>161</v>
      </c>
      <c r="B42" s="16" t="s">
        <v>162</v>
      </c>
      <c r="C42" s="16" t="s">
        <v>833</v>
      </c>
      <c r="D42" s="16" t="s">
        <v>439</v>
      </c>
      <c r="E42" s="21">
        <v>1825.7</v>
      </c>
      <c r="F42" s="16">
        <v>24</v>
      </c>
      <c r="G42" s="27">
        <v>33.799999999999997</v>
      </c>
      <c r="H42" s="21">
        <v>577.4</v>
      </c>
      <c r="I42" s="27">
        <v>13.9</v>
      </c>
      <c r="J42" s="27">
        <v>8.6999999999999993</v>
      </c>
    </row>
    <row r="43" spans="1:10" ht="15" customHeight="1" x14ac:dyDescent="0.45">
      <c r="A43" s="18" t="s">
        <v>161</v>
      </c>
      <c r="B43" s="18" t="s">
        <v>162</v>
      </c>
      <c r="C43" s="18" t="s">
        <v>833</v>
      </c>
      <c r="D43" s="18" t="s">
        <v>433</v>
      </c>
      <c r="E43" s="24">
        <v>2186.1</v>
      </c>
      <c r="F43" s="18">
        <v>8</v>
      </c>
      <c r="G43" s="28">
        <v>21.4</v>
      </c>
      <c r="H43" s="24">
        <v>374.6</v>
      </c>
      <c r="I43" s="28">
        <v>14.6</v>
      </c>
      <c r="J43" s="28">
        <v>27.1</v>
      </c>
    </row>
    <row r="44" spans="1:10" ht="15" customHeight="1" x14ac:dyDescent="0.45">
      <c r="A44" s="16" t="s">
        <v>161</v>
      </c>
      <c r="B44" s="16" t="s">
        <v>162</v>
      </c>
      <c r="C44" s="16" t="s">
        <v>833</v>
      </c>
      <c r="D44" s="16" t="s">
        <v>419</v>
      </c>
      <c r="E44" s="21">
        <v>1160.4000000000001</v>
      </c>
      <c r="F44" s="16">
        <v>12</v>
      </c>
      <c r="G44" s="27">
        <v>38.6</v>
      </c>
      <c r="H44" s="21">
        <v>344.2</v>
      </c>
      <c r="I44" s="27">
        <v>16.3</v>
      </c>
      <c r="J44" s="27">
        <v>14.2</v>
      </c>
    </row>
    <row r="45" spans="1:10" ht="15" customHeight="1" x14ac:dyDescent="0.45">
      <c r="A45" s="18" t="s">
        <v>161</v>
      </c>
      <c r="B45" s="18" t="s">
        <v>162</v>
      </c>
      <c r="C45" s="18" t="s">
        <v>833</v>
      </c>
      <c r="D45" s="18" t="s">
        <v>830</v>
      </c>
      <c r="E45" s="24">
        <v>693.7</v>
      </c>
      <c r="F45" s="18">
        <v>26</v>
      </c>
      <c r="G45" s="28">
        <v>50.3</v>
      </c>
      <c r="H45" s="24">
        <v>267.3</v>
      </c>
      <c r="I45" s="28">
        <v>14.5</v>
      </c>
      <c r="J45" s="28">
        <v>32.4</v>
      </c>
    </row>
    <row r="46" spans="1:10" ht="15" customHeight="1" x14ac:dyDescent="0.45">
      <c r="A46" s="16" t="s">
        <v>161</v>
      </c>
      <c r="B46" s="16" t="s">
        <v>162</v>
      </c>
      <c r="C46" s="16" t="s">
        <v>833</v>
      </c>
      <c r="D46" s="16" t="s">
        <v>831</v>
      </c>
      <c r="E46" s="21">
        <v>561.79999999999995</v>
      </c>
      <c r="F46" s="16">
        <v>22</v>
      </c>
      <c r="G46" s="27">
        <v>40.200000000000003</v>
      </c>
      <c r="H46" s="21">
        <v>133.69999999999999</v>
      </c>
      <c r="I46" s="27">
        <v>16.5</v>
      </c>
      <c r="J46" s="27">
        <v>10.6</v>
      </c>
    </row>
    <row r="47" spans="1:10" ht="15" customHeight="1" x14ac:dyDescent="0.45">
      <c r="A47" s="18" t="s">
        <v>166</v>
      </c>
      <c r="B47" s="18" t="s">
        <v>167</v>
      </c>
      <c r="C47" s="18" t="s">
        <v>829</v>
      </c>
      <c r="D47" s="18" t="s">
        <v>439</v>
      </c>
      <c r="E47" s="24">
        <v>754.4</v>
      </c>
      <c r="F47" s="18">
        <v>18</v>
      </c>
      <c r="G47" s="28">
        <v>49.3</v>
      </c>
      <c r="H47" s="24">
        <v>179.2</v>
      </c>
      <c r="I47" s="28">
        <v>16.2</v>
      </c>
      <c r="J47" s="28">
        <v>7.6</v>
      </c>
    </row>
    <row r="48" spans="1:10" ht="15" customHeight="1" x14ac:dyDescent="0.45">
      <c r="A48" s="16" t="s">
        <v>166</v>
      </c>
      <c r="B48" s="16" t="s">
        <v>167</v>
      </c>
      <c r="C48" s="16" t="s">
        <v>829</v>
      </c>
      <c r="D48" s="16" t="s">
        <v>433</v>
      </c>
      <c r="E48" s="21">
        <v>439.8</v>
      </c>
      <c r="F48" s="16">
        <v>18</v>
      </c>
      <c r="G48" s="27">
        <v>47.9</v>
      </c>
      <c r="H48" s="21">
        <v>158.9</v>
      </c>
      <c r="I48" s="27">
        <v>21.7</v>
      </c>
      <c r="J48" s="27">
        <v>29.4</v>
      </c>
    </row>
    <row r="49" spans="1:10" ht="15" customHeight="1" x14ac:dyDescent="0.45">
      <c r="A49" s="18" t="s">
        <v>166</v>
      </c>
      <c r="B49" s="18" t="s">
        <v>167</v>
      </c>
      <c r="C49" s="18" t="s">
        <v>829</v>
      </c>
      <c r="D49" s="18" t="s">
        <v>419</v>
      </c>
      <c r="E49" s="24">
        <v>718.5</v>
      </c>
      <c r="F49" s="18">
        <v>5</v>
      </c>
      <c r="G49" s="28">
        <v>40.5</v>
      </c>
      <c r="H49" s="24">
        <v>225.9</v>
      </c>
      <c r="I49" s="28">
        <v>18</v>
      </c>
      <c r="J49" s="28">
        <v>4.9000000000000004</v>
      </c>
    </row>
    <row r="50" spans="1:10" ht="15" customHeight="1" x14ac:dyDescent="0.45">
      <c r="A50" s="16" t="s">
        <v>166</v>
      </c>
      <c r="B50" s="16" t="s">
        <v>167</v>
      </c>
      <c r="C50" s="16" t="s">
        <v>829</v>
      </c>
      <c r="D50" s="16" t="s">
        <v>830</v>
      </c>
      <c r="E50" s="21">
        <v>435.4</v>
      </c>
      <c r="F50" s="16">
        <v>23</v>
      </c>
      <c r="G50" s="27">
        <v>52.1</v>
      </c>
      <c r="H50" s="21">
        <v>103.5</v>
      </c>
      <c r="I50" s="27">
        <v>11.4</v>
      </c>
      <c r="J50" s="27">
        <v>8.4</v>
      </c>
    </row>
    <row r="51" spans="1:10" ht="15" customHeight="1" x14ac:dyDescent="0.45">
      <c r="A51" s="18" t="s">
        <v>166</v>
      </c>
      <c r="B51" s="18" t="s">
        <v>167</v>
      </c>
      <c r="C51" s="18" t="s">
        <v>829</v>
      </c>
      <c r="D51" s="18" t="s">
        <v>831</v>
      </c>
      <c r="E51" s="24">
        <v>754.9</v>
      </c>
      <c r="F51" s="18">
        <v>8</v>
      </c>
      <c r="G51" s="28">
        <v>23.2</v>
      </c>
      <c r="H51" s="24">
        <v>232.7</v>
      </c>
      <c r="I51" s="28">
        <v>9.4</v>
      </c>
      <c r="J51" s="28">
        <v>27.1</v>
      </c>
    </row>
    <row r="52" spans="1:10" ht="15" customHeight="1" x14ac:dyDescent="0.45">
      <c r="A52" s="16" t="s">
        <v>166</v>
      </c>
      <c r="B52" s="16" t="s">
        <v>167</v>
      </c>
      <c r="C52" s="16" t="s">
        <v>832</v>
      </c>
      <c r="D52" s="16" t="s">
        <v>439</v>
      </c>
      <c r="E52" s="21">
        <v>410.2</v>
      </c>
      <c r="F52" s="16">
        <v>30</v>
      </c>
      <c r="G52" s="27">
        <v>34.799999999999997</v>
      </c>
      <c r="H52" s="21">
        <v>77.7</v>
      </c>
      <c r="I52" s="27">
        <v>13.1</v>
      </c>
      <c r="J52" s="27">
        <v>14.1</v>
      </c>
    </row>
    <row r="53" spans="1:10" ht="15" customHeight="1" x14ac:dyDescent="0.45">
      <c r="A53" s="18" t="s">
        <v>166</v>
      </c>
      <c r="B53" s="18" t="s">
        <v>167</v>
      </c>
      <c r="C53" s="18" t="s">
        <v>832</v>
      </c>
      <c r="D53" s="18" t="s">
        <v>433</v>
      </c>
      <c r="E53" s="24">
        <v>1050.7</v>
      </c>
      <c r="F53" s="18">
        <v>9</v>
      </c>
      <c r="G53" s="28">
        <v>50.7</v>
      </c>
      <c r="H53" s="24">
        <v>198.5</v>
      </c>
      <c r="I53" s="28">
        <v>18.8</v>
      </c>
      <c r="J53" s="28">
        <v>5.5</v>
      </c>
    </row>
    <row r="54" spans="1:10" ht="15" customHeight="1" x14ac:dyDescent="0.45">
      <c r="A54" s="16" t="s">
        <v>166</v>
      </c>
      <c r="B54" s="16" t="s">
        <v>167</v>
      </c>
      <c r="C54" s="16" t="s">
        <v>832</v>
      </c>
      <c r="D54" s="16" t="s">
        <v>419</v>
      </c>
      <c r="E54" s="21">
        <v>292.39999999999998</v>
      </c>
      <c r="F54" s="16">
        <v>32</v>
      </c>
      <c r="G54" s="27">
        <v>42.5</v>
      </c>
      <c r="H54" s="21">
        <v>79.400000000000006</v>
      </c>
      <c r="I54" s="27">
        <v>14.7</v>
      </c>
      <c r="J54" s="27">
        <v>12.5</v>
      </c>
    </row>
    <row r="55" spans="1:10" ht="15" customHeight="1" x14ac:dyDescent="0.45">
      <c r="A55" s="18" t="s">
        <v>166</v>
      </c>
      <c r="B55" s="18" t="s">
        <v>167</v>
      </c>
      <c r="C55" s="18" t="s">
        <v>832</v>
      </c>
      <c r="D55" s="18" t="s">
        <v>830</v>
      </c>
      <c r="E55" s="24">
        <v>886.3</v>
      </c>
      <c r="F55" s="18">
        <v>11</v>
      </c>
      <c r="G55" s="28">
        <v>30.8</v>
      </c>
      <c r="H55" s="24">
        <v>157.5</v>
      </c>
      <c r="I55" s="28">
        <v>17.8</v>
      </c>
      <c r="J55" s="28">
        <v>22.4</v>
      </c>
    </row>
    <row r="56" spans="1:10" ht="15" customHeight="1" x14ac:dyDescent="0.45">
      <c r="A56" s="16" t="s">
        <v>166</v>
      </c>
      <c r="B56" s="16" t="s">
        <v>167</v>
      </c>
      <c r="C56" s="16" t="s">
        <v>832</v>
      </c>
      <c r="D56" s="16" t="s">
        <v>831</v>
      </c>
      <c r="E56" s="21">
        <v>685.2</v>
      </c>
      <c r="F56" s="16">
        <v>23</v>
      </c>
      <c r="G56" s="27">
        <v>19.7</v>
      </c>
      <c r="H56" s="21">
        <v>170.5</v>
      </c>
      <c r="I56" s="27">
        <v>16.8</v>
      </c>
      <c r="J56" s="27">
        <v>4.2</v>
      </c>
    </row>
    <row r="57" spans="1:10" ht="15" customHeight="1" x14ac:dyDescent="0.45">
      <c r="A57" s="18" t="s">
        <v>166</v>
      </c>
      <c r="B57" s="18" t="s">
        <v>167</v>
      </c>
      <c r="C57" s="18" t="s">
        <v>833</v>
      </c>
      <c r="D57" s="18" t="s">
        <v>439</v>
      </c>
      <c r="E57" s="24">
        <v>513.79999999999995</v>
      </c>
      <c r="F57" s="18">
        <v>17</v>
      </c>
      <c r="G57" s="28">
        <v>46.4</v>
      </c>
      <c r="H57" s="24">
        <v>175.2</v>
      </c>
      <c r="I57" s="28">
        <v>12.8</v>
      </c>
      <c r="J57" s="28">
        <v>7.7</v>
      </c>
    </row>
    <row r="58" spans="1:10" ht="15" customHeight="1" x14ac:dyDescent="0.45">
      <c r="A58" s="16" t="s">
        <v>166</v>
      </c>
      <c r="B58" s="16" t="s">
        <v>167</v>
      </c>
      <c r="C58" s="16" t="s">
        <v>833</v>
      </c>
      <c r="D58" s="16" t="s">
        <v>433</v>
      </c>
      <c r="E58" s="21">
        <v>696.4</v>
      </c>
      <c r="F58" s="16">
        <v>31</v>
      </c>
      <c r="G58" s="27">
        <v>24.5</v>
      </c>
      <c r="H58" s="21">
        <v>170.7</v>
      </c>
      <c r="I58" s="27">
        <v>18.100000000000001</v>
      </c>
      <c r="J58" s="27">
        <v>19.5</v>
      </c>
    </row>
    <row r="59" spans="1:10" ht="15" customHeight="1" x14ac:dyDescent="0.45">
      <c r="A59" s="18" t="s">
        <v>166</v>
      </c>
      <c r="B59" s="18" t="s">
        <v>167</v>
      </c>
      <c r="C59" s="18" t="s">
        <v>833</v>
      </c>
      <c r="D59" s="18" t="s">
        <v>419</v>
      </c>
      <c r="E59" s="24">
        <v>1009.5</v>
      </c>
      <c r="F59" s="18">
        <v>26</v>
      </c>
      <c r="G59" s="28">
        <v>20.7</v>
      </c>
      <c r="H59" s="24">
        <v>368.9</v>
      </c>
      <c r="I59" s="28">
        <v>9.5</v>
      </c>
      <c r="J59" s="28">
        <v>4.5999999999999996</v>
      </c>
    </row>
    <row r="60" spans="1:10" ht="15" customHeight="1" x14ac:dyDescent="0.45">
      <c r="A60" s="16" t="s">
        <v>166</v>
      </c>
      <c r="B60" s="16" t="s">
        <v>167</v>
      </c>
      <c r="C60" s="16" t="s">
        <v>833</v>
      </c>
      <c r="D60" s="16" t="s">
        <v>830</v>
      </c>
      <c r="E60" s="21">
        <v>1091.3</v>
      </c>
      <c r="F60" s="16">
        <v>24</v>
      </c>
      <c r="G60" s="27">
        <v>39.299999999999997</v>
      </c>
      <c r="H60" s="21">
        <v>320.10000000000002</v>
      </c>
      <c r="I60" s="27">
        <v>18.2</v>
      </c>
      <c r="J60" s="27">
        <v>16.899999999999999</v>
      </c>
    </row>
    <row r="61" spans="1:10" ht="15" customHeight="1" x14ac:dyDescent="0.45">
      <c r="A61" s="18" t="s">
        <v>166</v>
      </c>
      <c r="B61" s="18" t="s">
        <v>167</v>
      </c>
      <c r="C61" s="18" t="s">
        <v>833</v>
      </c>
      <c r="D61" s="18" t="s">
        <v>831</v>
      </c>
      <c r="E61" s="24">
        <v>340.3</v>
      </c>
      <c r="F61" s="18">
        <v>5</v>
      </c>
      <c r="G61" s="28">
        <v>53.7</v>
      </c>
      <c r="H61" s="24">
        <v>65.7</v>
      </c>
      <c r="I61" s="28">
        <v>21.3</v>
      </c>
      <c r="J61" s="28">
        <v>18.3</v>
      </c>
    </row>
    <row r="62" spans="1:10" ht="15" customHeight="1" x14ac:dyDescent="0.45">
      <c r="A62" s="16" t="s">
        <v>171</v>
      </c>
      <c r="B62" s="16" t="s">
        <v>172</v>
      </c>
      <c r="C62" s="16" t="s">
        <v>829</v>
      </c>
      <c r="D62" s="16" t="s">
        <v>439</v>
      </c>
      <c r="E62" s="21">
        <v>270.60000000000002</v>
      </c>
      <c r="F62" s="16">
        <v>27</v>
      </c>
      <c r="G62" s="27">
        <v>21.3</v>
      </c>
      <c r="H62" s="21">
        <v>97.7</v>
      </c>
      <c r="I62" s="27">
        <v>12.2</v>
      </c>
      <c r="J62" s="27">
        <v>22.3</v>
      </c>
    </row>
    <row r="63" spans="1:10" ht="15" customHeight="1" x14ac:dyDescent="0.45">
      <c r="A63" s="18" t="s">
        <v>171</v>
      </c>
      <c r="B63" s="18" t="s">
        <v>172</v>
      </c>
      <c r="C63" s="18" t="s">
        <v>829</v>
      </c>
      <c r="D63" s="18" t="s">
        <v>433</v>
      </c>
      <c r="E63" s="24">
        <v>222.9</v>
      </c>
      <c r="F63" s="18">
        <v>29</v>
      </c>
      <c r="G63" s="28">
        <v>50.2</v>
      </c>
      <c r="H63" s="24">
        <v>75</v>
      </c>
      <c r="I63" s="28">
        <v>11.9</v>
      </c>
      <c r="J63" s="28">
        <v>28.2</v>
      </c>
    </row>
    <row r="64" spans="1:10" ht="15" customHeight="1" x14ac:dyDescent="0.45">
      <c r="A64" s="16" t="s">
        <v>171</v>
      </c>
      <c r="B64" s="16" t="s">
        <v>172</v>
      </c>
      <c r="C64" s="16" t="s">
        <v>829</v>
      </c>
      <c r="D64" s="16" t="s">
        <v>419</v>
      </c>
      <c r="E64" s="21">
        <v>94</v>
      </c>
      <c r="F64" s="16">
        <v>11</v>
      </c>
      <c r="G64" s="27">
        <v>37.6</v>
      </c>
      <c r="H64" s="21">
        <v>18.7</v>
      </c>
      <c r="I64" s="27">
        <v>19.100000000000001</v>
      </c>
      <c r="J64" s="27">
        <v>14.9</v>
      </c>
    </row>
    <row r="65" spans="1:10" ht="15" customHeight="1" x14ac:dyDescent="0.45">
      <c r="A65" s="18" t="s">
        <v>171</v>
      </c>
      <c r="B65" s="18" t="s">
        <v>172</v>
      </c>
      <c r="C65" s="18" t="s">
        <v>829</v>
      </c>
      <c r="D65" s="18" t="s">
        <v>830</v>
      </c>
      <c r="E65" s="24">
        <v>348</v>
      </c>
      <c r="F65" s="18">
        <v>13</v>
      </c>
      <c r="G65" s="28">
        <v>26.7</v>
      </c>
      <c r="H65" s="24">
        <v>64.900000000000006</v>
      </c>
      <c r="I65" s="28">
        <v>11.6</v>
      </c>
      <c r="J65" s="28">
        <v>22.7</v>
      </c>
    </row>
    <row r="66" spans="1:10" ht="15" customHeight="1" x14ac:dyDescent="0.45">
      <c r="A66" s="16" t="s">
        <v>171</v>
      </c>
      <c r="B66" s="16" t="s">
        <v>172</v>
      </c>
      <c r="C66" s="16" t="s">
        <v>829</v>
      </c>
      <c r="D66" s="16" t="s">
        <v>831</v>
      </c>
      <c r="E66" s="21">
        <v>290.89999999999998</v>
      </c>
      <c r="F66" s="16">
        <v>8</v>
      </c>
      <c r="G66" s="27">
        <v>24.6</v>
      </c>
      <c r="H66" s="21">
        <v>99.8</v>
      </c>
      <c r="I66" s="27">
        <v>15.4</v>
      </c>
      <c r="J66" s="27">
        <v>27.4</v>
      </c>
    </row>
    <row r="67" spans="1:10" ht="15" customHeight="1" x14ac:dyDescent="0.45">
      <c r="A67" s="18" t="s">
        <v>171</v>
      </c>
      <c r="B67" s="18" t="s">
        <v>172</v>
      </c>
      <c r="C67" s="18" t="s">
        <v>832</v>
      </c>
      <c r="D67" s="18" t="s">
        <v>439</v>
      </c>
      <c r="E67" s="24">
        <v>308.3</v>
      </c>
      <c r="F67" s="18">
        <v>32</v>
      </c>
      <c r="G67" s="28">
        <v>43.2</v>
      </c>
      <c r="H67" s="24">
        <v>114.2</v>
      </c>
      <c r="I67" s="28">
        <v>17.399999999999999</v>
      </c>
      <c r="J67" s="28">
        <v>34.6</v>
      </c>
    </row>
    <row r="68" spans="1:10" ht="15" customHeight="1" x14ac:dyDescent="0.45">
      <c r="A68" s="16" t="s">
        <v>171</v>
      </c>
      <c r="B68" s="16" t="s">
        <v>172</v>
      </c>
      <c r="C68" s="16" t="s">
        <v>832</v>
      </c>
      <c r="D68" s="16" t="s">
        <v>433</v>
      </c>
      <c r="E68" s="21">
        <v>175</v>
      </c>
      <c r="F68" s="16">
        <v>24</v>
      </c>
      <c r="G68" s="27">
        <v>23.6</v>
      </c>
      <c r="H68" s="21">
        <v>29.2</v>
      </c>
      <c r="I68" s="27">
        <v>14.7</v>
      </c>
      <c r="J68" s="27">
        <v>13.4</v>
      </c>
    </row>
    <row r="69" spans="1:10" ht="15" customHeight="1" x14ac:dyDescent="0.45">
      <c r="A69" s="18" t="s">
        <v>171</v>
      </c>
      <c r="B69" s="18" t="s">
        <v>172</v>
      </c>
      <c r="C69" s="18" t="s">
        <v>832</v>
      </c>
      <c r="D69" s="18" t="s">
        <v>419</v>
      </c>
      <c r="E69" s="24">
        <v>160.19999999999999</v>
      </c>
      <c r="F69" s="18">
        <v>7</v>
      </c>
      <c r="G69" s="28">
        <v>31</v>
      </c>
      <c r="H69" s="24">
        <v>27</v>
      </c>
      <c r="I69" s="28">
        <v>15</v>
      </c>
      <c r="J69" s="28">
        <v>5.2</v>
      </c>
    </row>
    <row r="70" spans="1:10" ht="15" customHeight="1" x14ac:dyDescent="0.45">
      <c r="A70" s="16" t="s">
        <v>171</v>
      </c>
      <c r="B70" s="16" t="s">
        <v>172</v>
      </c>
      <c r="C70" s="16" t="s">
        <v>832</v>
      </c>
      <c r="D70" s="16" t="s">
        <v>830</v>
      </c>
      <c r="E70" s="21">
        <v>188.9</v>
      </c>
      <c r="F70" s="16">
        <v>22</v>
      </c>
      <c r="G70" s="27">
        <v>20.8</v>
      </c>
      <c r="H70" s="21">
        <v>69.099999999999994</v>
      </c>
      <c r="I70" s="27">
        <v>20.100000000000001</v>
      </c>
      <c r="J70" s="27">
        <v>23.1</v>
      </c>
    </row>
    <row r="71" spans="1:10" ht="15" customHeight="1" x14ac:dyDescent="0.45">
      <c r="A71" s="18" t="s">
        <v>171</v>
      </c>
      <c r="B71" s="18" t="s">
        <v>172</v>
      </c>
      <c r="C71" s="18" t="s">
        <v>832</v>
      </c>
      <c r="D71" s="18" t="s">
        <v>831</v>
      </c>
      <c r="E71" s="24">
        <v>231.1</v>
      </c>
      <c r="F71" s="18">
        <v>33</v>
      </c>
      <c r="G71" s="28">
        <v>39.5</v>
      </c>
      <c r="H71" s="24">
        <v>89.8</v>
      </c>
      <c r="I71" s="28">
        <v>18.600000000000001</v>
      </c>
      <c r="J71" s="28">
        <v>5.3</v>
      </c>
    </row>
    <row r="72" spans="1:10" ht="15" customHeight="1" x14ac:dyDescent="0.45">
      <c r="A72" s="16" t="s">
        <v>171</v>
      </c>
      <c r="B72" s="16" t="s">
        <v>172</v>
      </c>
      <c r="C72" s="16" t="s">
        <v>833</v>
      </c>
      <c r="D72" s="16" t="s">
        <v>439</v>
      </c>
      <c r="E72" s="21">
        <v>373.9</v>
      </c>
      <c r="F72" s="16">
        <v>16</v>
      </c>
      <c r="G72" s="27">
        <v>29.9</v>
      </c>
      <c r="H72" s="21">
        <v>100.5</v>
      </c>
      <c r="I72" s="27">
        <v>11</v>
      </c>
      <c r="J72" s="27">
        <v>5.9</v>
      </c>
    </row>
    <row r="73" spans="1:10" ht="15" customHeight="1" x14ac:dyDescent="0.45">
      <c r="A73" s="18" t="s">
        <v>171</v>
      </c>
      <c r="B73" s="18" t="s">
        <v>172</v>
      </c>
      <c r="C73" s="18" t="s">
        <v>833</v>
      </c>
      <c r="D73" s="18" t="s">
        <v>433</v>
      </c>
      <c r="E73" s="24">
        <v>114</v>
      </c>
      <c r="F73" s="18">
        <v>25</v>
      </c>
      <c r="G73" s="28">
        <v>54.3</v>
      </c>
      <c r="H73" s="24">
        <v>19.5</v>
      </c>
      <c r="I73" s="28">
        <v>17.399999999999999</v>
      </c>
      <c r="J73" s="28">
        <v>5.2</v>
      </c>
    </row>
    <row r="74" spans="1:10" ht="15" customHeight="1" x14ac:dyDescent="0.45">
      <c r="A74" s="16" t="s">
        <v>171</v>
      </c>
      <c r="B74" s="16" t="s">
        <v>172</v>
      </c>
      <c r="C74" s="16" t="s">
        <v>833</v>
      </c>
      <c r="D74" s="16" t="s">
        <v>419</v>
      </c>
      <c r="E74" s="21">
        <v>308.89999999999998</v>
      </c>
      <c r="F74" s="16">
        <v>32</v>
      </c>
      <c r="G74" s="27">
        <v>37.4</v>
      </c>
      <c r="H74" s="21">
        <v>93.4</v>
      </c>
      <c r="I74" s="27">
        <v>13.7</v>
      </c>
      <c r="J74" s="27">
        <v>32.5</v>
      </c>
    </row>
    <row r="75" spans="1:10" ht="15" customHeight="1" x14ac:dyDescent="0.45">
      <c r="A75" s="18" t="s">
        <v>171</v>
      </c>
      <c r="B75" s="18" t="s">
        <v>172</v>
      </c>
      <c r="C75" s="18" t="s">
        <v>833</v>
      </c>
      <c r="D75" s="18" t="s">
        <v>830</v>
      </c>
      <c r="E75" s="24">
        <v>205.6</v>
      </c>
      <c r="F75" s="18">
        <v>25</v>
      </c>
      <c r="G75" s="28">
        <v>43.1</v>
      </c>
      <c r="H75" s="24">
        <v>33.5</v>
      </c>
      <c r="I75" s="28">
        <v>17.2</v>
      </c>
      <c r="J75" s="28">
        <v>14.4</v>
      </c>
    </row>
    <row r="76" spans="1:10" ht="15" customHeight="1" x14ac:dyDescent="0.45">
      <c r="A76" s="16" t="s">
        <v>171</v>
      </c>
      <c r="B76" s="16" t="s">
        <v>172</v>
      </c>
      <c r="C76" s="16" t="s">
        <v>833</v>
      </c>
      <c r="D76" s="16" t="s">
        <v>831</v>
      </c>
      <c r="E76" s="21">
        <v>187</v>
      </c>
      <c r="F76" s="16">
        <v>28</v>
      </c>
      <c r="G76" s="27">
        <v>28.5</v>
      </c>
      <c r="H76" s="21">
        <v>61.9</v>
      </c>
      <c r="I76" s="27">
        <v>17.5</v>
      </c>
      <c r="J76" s="27">
        <v>32.1</v>
      </c>
    </row>
    <row r="77" spans="1:10" ht="15" customHeight="1" x14ac:dyDescent="0.45">
      <c r="A77" s="18" t="s">
        <v>179</v>
      </c>
      <c r="B77" s="18" t="s">
        <v>180</v>
      </c>
      <c r="C77" s="18" t="s">
        <v>829</v>
      </c>
      <c r="D77" s="18" t="s">
        <v>439</v>
      </c>
      <c r="E77" s="24">
        <v>647</v>
      </c>
      <c r="F77" s="18">
        <v>25</v>
      </c>
      <c r="G77" s="28">
        <v>21</v>
      </c>
      <c r="H77" s="24">
        <v>204.4</v>
      </c>
      <c r="I77" s="28">
        <v>20.9</v>
      </c>
      <c r="J77" s="28">
        <v>13.6</v>
      </c>
    </row>
    <row r="78" spans="1:10" ht="15" customHeight="1" x14ac:dyDescent="0.45">
      <c r="A78" s="16" t="s">
        <v>179</v>
      </c>
      <c r="B78" s="16" t="s">
        <v>180</v>
      </c>
      <c r="C78" s="16" t="s">
        <v>829</v>
      </c>
      <c r="D78" s="16" t="s">
        <v>433</v>
      </c>
      <c r="E78" s="21">
        <v>521.9</v>
      </c>
      <c r="F78" s="16">
        <v>29</v>
      </c>
      <c r="G78" s="27">
        <v>22.8</v>
      </c>
      <c r="H78" s="21">
        <v>170.8</v>
      </c>
      <c r="I78" s="27">
        <v>10.1</v>
      </c>
      <c r="J78" s="27">
        <v>21.3</v>
      </c>
    </row>
    <row r="79" spans="1:10" ht="15" customHeight="1" x14ac:dyDescent="0.45">
      <c r="A79" s="18" t="s">
        <v>179</v>
      </c>
      <c r="B79" s="18" t="s">
        <v>180</v>
      </c>
      <c r="C79" s="18" t="s">
        <v>829</v>
      </c>
      <c r="D79" s="18" t="s">
        <v>419</v>
      </c>
      <c r="E79" s="24">
        <v>514.70000000000005</v>
      </c>
      <c r="F79" s="18">
        <v>25</v>
      </c>
      <c r="G79" s="28">
        <v>48.1</v>
      </c>
      <c r="H79" s="24">
        <v>163.4</v>
      </c>
      <c r="I79" s="28">
        <v>19.8</v>
      </c>
      <c r="J79" s="28">
        <v>26.9</v>
      </c>
    </row>
    <row r="80" spans="1:10" ht="15" customHeight="1" x14ac:dyDescent="0.45">
      <c r="A80" s="16" t="s">
        <v>179</v>
      </c>
      <c r="B80" s="16" t="s">
        <v>180</v>
      </c>
      <c r="C80" s="16" t="s">
        <v>829</v>
      </c>
      <c r="D80" s="16" t="s">
        <v>830</v>
      </c>
      <c r="E80" s="21">
        <v>538.79999999999995</v>
      </c>
      <c r="F80" s="16">
        <v>9</v>
      </c>
      <c r="G80" s="27">
        <v>41.9</v>
      </c>
      <c r="H80" s="21">
        <v>137.9</v>
      </c>
      <c r="I80" s="27">
        <v>13.7</v>
      </c>
      <c r="J80" s="27">
        <v>15.2</v>
      </c>
    </row>
    <row r="81" spans="1:10" ht="15" customHeight="1" x14ac:dyDescent="0.45">
      <c r="A81" s="18" t="s">
        <v>179</v>
      </c>
      <c r="B81" s="18" t="s">
        <v>180</v>
      </c>
      <c r="C81" s="18" t="s">
        <v>829</v>
      </c>
      <c r="D81" s="18" t="s">
        <v>831</v>
      </c>
      <c r="E81" s="24">
        <v>247.8</v>
      </c>
      <c r="F81" s="18">
        <v>17</v>
      </c>
      <c r="G81" s="28">
        <v>30.6</v>
      </c>
      <c r="H81" s="24">
        <v>84.6</v>
      </c>
      <c r="I81" s="28">
        <v>11.5</v>
      </c>
      <c r="J81" s="28">
        <v>35</v>
      </c>
    </row>
    <row r="82" spans="1:10" ht="15" customHeight="1" x14ac:dyDescent="0.45">
      <c r="A82" s="16" t="s">
        <v>179</v>
      </c>
      <c r="B82" s="16" t="s">
        <v>180</v>
      </c>
      <c r="C82" s="16" t="s">
        <v>832</v>
      </c>
      <c r="D82" s="16" t="s">
        <v>439</v>
      </c>
      <c r="E82" s="21">
        <v>247.2</v>
      </c>
      <c r="F82" s="16">
        <v>22</v>
      </c>
      <c r="G82" s="27">
        <v>49.2</v>
      </c>
      <c r="H82" s="21">
        <v>43.3</v>
      </c>
      <c r="I82" s="27">
        <v>19</v>
      </c>
      <c r="J82" s="27">
        <v>29.9</v>
      </c>
    </row>
    <row r="83" spans="1:10" ht="15" customHeight="1" x14ac:dyDescent="0.45">
      <c r="A83" s="18" t="s">
        <v>179</v>
      </c>
      <c r="B83" s="18" t="s">
        <v>180</v>
      </c>
      <c r="C83" s="18" t="s">
        <v>832</v>
      </c>
      <c r="D83" s="18" t="s">
        <v>433</v>
      </c>
      <c r="E83" s="24">
        <v>692.2</v>
      </c>
      <c r="F83" s="18">
        <v>6</v>
      </c>
      <c r="G83" s="28">
        <v>42.5</v>
      </c>
      <c r="H83" s="24">
        <v>255.5</v>
      </c>
      <c r="I83" s="28">
        <v>17</v>
      </c>
      <c r="J83" s="28">
        <v>22.5</v>
      </c>
    </row>
    <row r="84" spans="1:10" ht="15" customHeight="1" x14ac:dyDescent="0.45">
      <c r="A84" s="16" t="s">
        <v>179</v>
      </c>
      <c r="B84" s="16" t="s">
        <v>180</v>
      </c>
      <c r="C84" s="16" t="s">
        <v>832</v>
      </c>
      <c r="D84" s="16" t="s">
        <v>419</v>
      </c>
      <c r="E84" s="21">
        <v>246.8</v>
      </c>
      <c r="F84" s="16">
        <v>15</v>
      </c>
      <c r="G84" s="27">
        <v>48.8</v>
      </c>
      <c r="H84" s="21">
        <v>84.6</v>
      </c>
      <c r="I84" s="27">
        <v>19.5</v>
      </c>
      <c r="J84" s="27">
        <v>9.1</v>
      </c>
    </row>
    <row r="85" spans="1:10" ht="15" customHeight="1" x14ac:dyDescent="0.45">
      <c r="A85" s="18" t="s">
        <v>179</v>
      </c>
      <c r="B85" s="18" t="s">
        <v>180</v>
      </c>
      <c r="C85" s="18" t="s">
        <v>832</v>
      </c>
      <c r="D85" s="18" t="s">
        <v>830</v>
      </c>
      <c r="E85" s="24">
        <v>419.9</v>
      </c>
      <c r="F85" s="18">
        <v>30</v>
      </c>
      <c r="G85" s="28">
        <v>31.5</v>
      </c>
      <c r="H85" s="24">
        <v>138.5</v>
      </c>
      <c r="I85" s="28">
        <v>21.6</v>
      </c>
      <c r="J85" s="28">
        <v>22.9</v>
      </c>
    </row>
    <row r="86" spans="1:10" ht="15" customHeight="1" x14ac:dyDescent="0.45">
      <c r="A86" s="16" t="s">
        <v>179</v>
      </c>
      <c r="B86" s="16" t="s">
        <v>180</v>
      </c>
      <c r="C86" s="16" t="s">
        <v>832</v>
      </c>
      <c r="D86" s="16" t="s">
        <v>831</v>
      </c>
      <c r="E86" s="21">
        <v>612</v>
      </c>
      <c r="F86" s="16">
        <v>32</v>
      </c>
      <c r="G86" s="27">
        <v>26.7</v>
      </c>
      <c r="H86" s="21">
        <v>128.4</v>
      </c>
      <c r="I86" s="27">
        <v>21.6</v>
      </c>
      <c r="J86" s="27">
        <v>28.3</v>
      </c>
    </row>
    <row r="87" spans="1:10" ht="15" customHeight="1" x14ac:dyDescent="0.45">
      <c r="A87" s="18" t="s">
        <v>179</v>
      </c>
      <c r="B87" s="18" t="s">
        <v>180</v>
      </c>
      <c r="C87" s="18" t="s">
        <v>833</v>
      </c>
      <c r="D87" s="18" t="s">
        <v>439</v>
      </c>
      <c r="E87" s="24">
        <v>744.5</v>
      </c>
      <c r="F87" s="18">
        <v>16</v>
      </c>
      <c r="G87" s="28">
        <v>31.6</v>
      </c>
      <c r="H87" s="24">
        <v>288</v>
      </c>
      <c r="I87" s="28">
        <v>21.8</v>
      </c>
      <c r="J87" s="28">
        <v>18.3</v>
      </c>
    </row>
    <row r="88" spans="1:10" ht="15" customHeight="1" x14ac:dyDescent="0.45">
      <c r="A88" s="16" t="s">
        <v>179</v>
      </c>
      <c r="B88" s="16" t="s">
        <v>180</v>
      </c>
      <c r="C88" s="16" t="s">
        <v>833</v>
      </c>
      <c r="D88" s="16" t="s">
        <v>433</v>
      </c>
      <c r="E88" s="21">
        <v>343.1</v>
      </c>
      <c r="F88" s="16">
        <v>28</v>
      </c>
      <c r="G88" s="27">
        <v>36.6</v>
      </c>
      <c r="H88" s="21">
        <v>87.4</v>
      </c>
      <c r="I88" s="27">
        <v>11.1</v>
      </c>
      <c r="J88" s="27">
        <v>10.199999999999999</v>
      </c>
    </row>
    <row r="89" spans="1:10" ht="15" customHeight="1" x14ac:dyDescent="0.45">
      <c r="A89" s="18" t="s">
        <v>179</v>
      </c>
      <c r="B89" s="18" t="s">
        <v>180</v>
      </c>
      <c r="C89" s="18" t="s">
        <v>833</v>
      </c>
      <c r="D89" s="18" t="s">
        <v>419</v>
      </c>
      <c r="E89" s="24">
        <v>551.4</v>
      </c>
      <c r="F89" s="18">
        <v>20</v>
      </c>
      <c r="G89" s="28">
        <v>19.899999999999999</v>
      </c>
      <c r="H89" s="24">
        <v>149</v>
      </c>
      <c r="I89" s="28">
        <v>13.8</v>
      </c>
      <c r="J89" s="28">
        <v>33</v>
      </c>
    </row>
    <row r="90" spans="1:10" ht="15" customHeight="1" x14ac:dyDescent="0.45">
      <c r="A90" s="16" t="s">
        <v>179</v>
      </c>
      <c r="B90" s="16" t="s">
        <v>180</v>
      </c>
      <c r="C90" s="16" t="s">
        <v>833</v>
      </c>
      <c r="D90" s="16" t="s">
        <v>830</v>
      </c>
      <c r="E90" s="21">
        <v>620.20000000000005</v>
      </c>
      <c r="F90" s="16">
        <v>11</v>
      </c>
      <c r="G90" s="27">
        <v>28.5</v>
      </c>
      <c r="H90" s="21">
        <v>211.4</v>
      </c>
      <c r="I90" s="27">
        <v>12.5</v>
      </c>
      <c r="J90" s="27">
        <v>32.1</v>
      </c>
    </row>
    <row r="91" spans="1:10" ht="15" customHeight="1" x14ac:dyDescent="0.45">
      <c r="A91" s="18" t="s">
        <v>179</v>
      </c>
      <c r="B91" s="18" t="s">
        <v>180</v>
      </c>
      <c r="C91" s="18" t="s">
        <v>833</v>
      </c>
      <c r="D91" s="18" t="s">
        <v>831</v>
      </c>
      <c r="E91" s="24">
        <v>256.3</v>
      </c>
      <c r="F91" s="18">
        <v>31</v>
      </c>
      <c r="G91" s="28">
        <v>21.4</v>
      </c>
      <c r="H91" s="24">
        <v>96.8</v>
      </c>
      <c r="I91" s="28">
        <v>19.600000000000001</v>
      </c>
      <c r="J91" s="28">
        <v>31.4</v>
      </c>
    </row>
    <row r="92" spans="1:10" ht="15" customHeight="1" x14ac:dyDescent="0.45">
      <c r="A92" s="16" t="s">
        <v>184</v>
      </c>
      <c r="B92" s="16" t="s">
        <v>185</v>
      </c>
      <c r="C92" s="16" t="s">
        <v>829</v>
      </c>
      <c r="D92" s="16" t="s">
        <v>439</v>
      </c>
      <c r="E92" s="21">
        <v>566.6</v>
      </c>
      <c r="F92" s="16">
        <v>30</v>
      </c>
      <c r="G92" s="27">
        <v>20</v>
      </c>
      <c r="H92" s="21">
        <v>156.1</v>
      </c>
      <c r="I92" s="27">
        <v>12.1</v>
      </c>
      <c r="J92" s="27">
        <v>34.799999999999997</v>
      </c>
    </row>
    <row r="93" spans="1:10" ht="15" customHeight="1" x14ac:dyDescent="0.45">
      <c r="A93" s="18" t="s">
        <v>184</v>
      </c>
      <c r="B93" s="18" t="s">
        <v>185</v>
      </c>
      <c r="C93" s="18" t="s">
        <v>829</v>
      </c>
      <c r="D93" s="18" t="s">
        <v>433</v>
      </c>
      <c r="E93" s="24">
        <v>300</v>
      </c>
      <c r="F93" s="18">
        <v>5</v>
      </c>
      <c r="G93" s="28">
        <v>29.8</v>
      </c>
      <c r="H93" s="24">
        <v>52.4</v>
      </c>
      <c r="I93" s="28">
        <v>18.3</v>
      </c>
      <c r="J93" s="28">
        <v>14.4</v>
      </c>
    </row>
    <row r="94" spans="1:10" ht="15" customHeight="1" x14ac:dyDescent="0.45">
      <c r="A94" s="16" t="s">
        <v>184</v>
      </c>
      <c r="B94" s="16" t="s">
        <v>185</v>
      </c>
      <c r="C94" s="16" t="s">
        <v>829</v>
      </c>
      <c r="D94" s="16" t="s">
        <v>419</v>
      </c>
      <c r="E94" s="21">
        <v>190.1</v>
      </c>
      <c r="F94" s="16">
        <v>6</v>
      </c>
      <c r="G94" s="27">
        <v>28.6</v>
      </c>
      <c r="H94" s="21">
        <v>67.900000000000006</v>
      </c>
      <c r="I94" s="27">
        <v>18</v>
      </c>
      <c r="J94" s="27">
        <v>8.3000000000000007</v>
      </c>
    </row>
    <row r="95" spans="1:10" ht="15" customHeight="1" x14ac:dyDescent="0.45">
      <c r="A95" s="18" t="s">
        <v>184</v>
      </c>
      <c r="B95" s="18" t="s">
        <v>185</v>
      </c>
      <c r="C95" s="18" t="s">
        <v>829</v>
      </c>
      <c r="D95" s="18" t="s">
        <v>830</v>
      </c>
      <c r="E95" s="24">
        <v>458.7</v>
      </c>
      <c r="F95" s="18">
        <v>32</v>
      </c>
      <c r="G95" s="28">
        <v>40.799999999999997</v>
      </c>
      <c r="H95" s="24">
        <v>172.7</v>
      </c>
      <c r="I95" s="28">
        <v>9.1999999999999993</v>
      </c>
      <c r="J95" s="28">
        <v>10.7</v>
      </c>
    </row>
    <row r="96" spans="1:10" ht="15" customHeight="1" x14ac:dyDescent="0.45">
      <c r="A96" s="16" t="s">
        <v>184</v>
      </c>
      <c r="B96" s="16" t="s">
        <v>185</v>
      </c>
      <c r="C96" s="16" t="s">
        <v>829</v>
      </c>
      <c r="D96" s="16" t="s">
        <v>831</v>
      </c>
      <c r="E96" s="21">
        <v>191.8</v>
      </c>
      <c r="F96" s="16">
        <v>31</v>
      </c>
      <c r="G96" s="27">
        <v>22.1</v>
      </c>
      <c r="H96" s="21">
        <v>42.6</v>
      </c>
      <c r="I96" s="27">
        <v>12.9</v>
      </c>
      <c r="J96" s="27">
        <v>5.5</v>
      </c>
    </row>
    <row r="97" spans="1:10" ht="15" customHeight="1" x14ac:dyDescent="0.45">
      <c r="A97" s="18" t="s">
        <v>184</v>
      </c>
      <c r="B97" s="18" t="s">
        <v>185</v>
      </c>
      <c r="C97" s="18" t="s">
        <v>832</v>
      </c>
      <c r="D97" s="18" t="s">
        <v>439</v>
      </c>
      <c r="E97" s="24">
        <v>340.8</v>
      </c>
      <c r="F97" s="18">
        <v>33</v>
      </c>
      <c r="G97" s="28">
        <v>20.3</v>
      </c>
      <c r="H97" s="24">
        <v>122.4</v>
      </c>
      <c r="I97" s="28">
        <v>15.5</v>
      </c>
      <c r="J97" s="28">
        <v>20.6</v>
      </c>
    </row>
    <row r="98" spans="1:10" ht="15" customHeight="1" x14ac:dyDescent="0.45">
      <c r="A98" s="16" t="s">
        <v>184</v>
      </c>
      <c r="B98" s="16" t="s">
        <v>185</v>
      </c>
      <c r="C98" s="16" t="s">
        <v>832</v>
      </c>
      <c r="D98" s="16" t="s">
        <v>433</v>
      </c>
      <c r="E98" s="21">
        <v>448.7</v>
      </c>
      <c r="F98" s="16">
        <v>19</v>
      </c>
      <c r="G98" s="27">
        <v>44.6</v>
      </c>
      <c r="H98" s="21">
        <v>100</v>
      </c>
      <c r="I98" s="27">
        <v>9</v>
      </c>
      <c r="J98" s="27">
        <v>14.9</v>
      </c>
    </row>
    <row r="99" spans="1:10" ht="15" customHeight="1" x14ac:dyDescent="0.45">
      <c r="A99" s="18" t="s">
        <v>184</v>
      </c>
      <c r="B99" s="18" t="s">
        <v>185</v>
      </c>
      <c r="C99" s="18" t="s">
        <v>832</v>
      </c>
      <c r="D99" s="18" t="s">
        <v>419</v>
      </c>
      <c r="E99" s="24">
        <v>417.6</v>
      </c>
      <c r="F99" s="18">
        <v>15</v>
      </c>
      <c r="G99" s="28">
        <v>42.6</v>
      </c>
      <c r="H99" s="24">
        <v>71.599999999999994</v>
      </c>
      <c r="I99" s="28">
        <v>21.7</v>
      </c>
      <c r="J99" s="28">
        <v>6.1</v>
      </c>
    </row>
    <row r="100" spans="1:10" ht="15" customHeight="1" x14ac:dyDescent="0.45">
      <c r="A100" s="16" t="s">
        <v>184</v>
      </c>
      <c r="B100" s="16" t="s">
        <v>185</v>
      </c>
      <c r="C100" s="16" t="s">
        <v>832</v>
      </c>
      <c r="D100" s="16" t="s">
        <v>830</v>
      </c>
      <c r="E100" s="21">
        <v>394.9</v>
      </c>
      <c r="F100" s="16">
        <v>5</v>
      </c>
      <c r="G100" s="27">
        <v>32.4</v>
      </c>
      <c r="H100" s="21">
        <v>105.6</v>
      </c>
      <c r="I100" s="27">
        <v>17.3</v>
      </c>
      <c r="J100" s="27">
        <v>34.4</v>
      </c>
    </row>
    <row r="101" spans="1:10" ht="15" customHeight="1" x14ac:dyDescent="0.45">
      <c r="A101" s="18" t="s">
        <v>184</v>
      </c>
      <c r="B101" s="18" t="s">
        <v>185</v>
      </c>
      <c r="C101" s="18" t="s">
        <v>832</v>
      </c>
      <c r="D101" s="18" t="s">
        <v>831</v>
      </c>
      <c r="E101" s="24">
        <v>256.3</v>
      </c>
      <c r="F101" s="18">
        <v>5</v>
      </c>
      <c r="G101" s="28">
        <v>31.2</v>
      </c>
      <c r="H101" s="24">
        <v>42.8</v>
      </c>
      <c r="I101" s="28">
        <v>12.1</v>
      </c>
      <c r="J101" s="28">
        <v>24.4</v>
      </c>
    </row>
    <row r="102" spans="1:10" ht="15" customHeight="1" x14ac:dyDescent="0.45">
      <c r="A102" s="16" t="s">
        <v>184</v>
      </c>
      <c r="B102" s="16" t="s">
        <v>185</v>
      </c>
      <c r="C102" s="16" t="s">
        <v>833</v>
      </c>
      <c r="D102" s="16" t="s">
        <v>439</v>
      </c>
      <c r="E102" s="21">
        <v>190.1</v>
      </c>
      <c r="F102" s="16">
        <v>25</v>
      </c>
      <c r="G102" s="27">
        <v>22.9</v>
      </c>
      <c r="H102" s="21">
        <v>45.3</v>
      </c>
      <c r="I102" s="27">
        <v>13.4</v>
      </c>
      <c r="J102" s="27">
        <v>23.9</v>
      </c>
    </row>
    <row r="103" spans="1:10" ht="15" customHeight="1" x14ac:dyDescent="0.45">
      <c r="A103" s="18" t="s">
        <v>184</v>
      </c>
      <c r="B103" s="18" t="s">
        <v>185</v>
      </c>
      <c r="C103" s="18" t="s">
        <v>833</v>
      </c>
      <c r="D103" s="18" t="s">
        <v>433</v>
      </c>
      <c r="E103" s="24">
        <v>580.79999999999995</v>
      </c>
      <c r="F103" s="18">
        <v>33</v>
      </c>
      <c r="G103" s="28">
        <v>54.3</v>
      </c>
      <c r="H103" s="24">
        <v>156.6</v>
      </c>
      <c r="I103" s="28">
        <v>11.4</v>
      </c>
      <c r="J103" s="28">
        <v>8.1999999999999993</v>
      </c>
    </row>
    <row r="104" spans="1:10" ht="15" customHeight="1" x14ac:dyDescent="0.45">
      <c r="A104" s="16" t="s">
        <v>184</v>
      </c>
      <c r="B104" s="16" t="s">
        <v>185</v>
      </c>
      <c r="C104" s="16" t="s">
        <v>833</v>
      </c>
      <c r="D104" s="16" t="s">
        <v>419</v>
      </c>
      <c r="E104" s="21">
        <v>519.29999999999995</v>
      </c>
      <c r="F104" s="16">
        <v>33</v>
      </c>
      <c r="G104" s="27">
        <v>19.399999999999999</v>
      </c>
      <c r="H104" s="21">
        <v>104.1</v>
      </c>
      <c r="I104" s="27">
        <v>19.3</v>
      </c>
      <c r="J104" s="27">
        <v>31.5</v>
      </c>
    </row>
    <row r="105" spans="1:10" ht="15" customHeight="1" x14ac:dyDescent="0.45">
      <c r="A105" s="18" t="s">
        <v>184</v>
      </c>
      <c r="B105" s="18" t="s">
        <v>185</v>
      </c>
      <c r="C105" s="18" t="s">
        <v>833</v>
      </c>
      <c r="D105" s="18" t="s">
        <v>830</v>
      </c>
      <c r="E105" s="24">
        <v>304.10000000000002</v>
      </c>
      <c r="F105" s="18">
        <v>23</v>
      </c>
      <c r="G105" s="28">
        <v>37.1</v>
      </c>
      <c r="H105" s="24">
        <v>120.8</v>
      </c>
      <c r="I105" s="28">
        <v>16.100000000000001</v>
      </c>
      <c r="J105" s="28">
        <v>11.9</v>
      </c>
    </row>
    <row r="106" spans="1:10" ht="15" customHeight="1" x14ac:dyDescent="0.45">
      <c r="A106" s="16" t="s">
        <v>184</v>
      </c>
      <c r="B106" s="16" t="s">
        <v>185</v>
      </c>
      <c r="C106" s="16" t="s">
        <v>833</v>
      </c>
      <c r="D106" s="16" t="s">
        <v>831</v>
      </c>
      <c r="E106" s="21">
        <v>539.4</v>
      </c>
      <c r="F106" s="16">
        <v>16</v>
      </c>
      <c r="G106" s="27">
        <v>28.6</v>
      </c>
      <c r="H106" s="21">
        <v>197.2</v>
      </c>
      <c r="I106" s="27">
        <v>9.6</v>
      </c>
      <c r="J106" s="27">
        <v>24.3</v>
      </c>
    </row>
    <row r="107" spans="1:10" ht="15" customHeight="1" x14ac:dyDescent="0.45">
      <c r="A107" s="18" t="s">
        <v>190</v>
      </c>
      <c r="B107" s="18" t="s">
        <v>191</v>
      </c>
      <c r="C107" s="18" t="s">
        <v>829</v>
      </c>
      <c r="D107" s="18" t="s">
        <v>439</v>
      </c>
      <c r="E107" s="24">
        <v>569.29999999999995</v>
      </c>
      <c r="F107" s="18">
        <v>27</v>
      </c>
      <c r="G107" s="28">
        <v>34.200000000000003</v>
      </c>
      <c r="H107" s="24">
        <v>142.30000000000001</v>
      </c>
      <c r="I107" s="28">
        <v>14.7</v>
      </c>
      <c r="J107" s="28">
        <v>33.700000000000003</v>
      </c>
    </row>
    <row r="108" spans="1:10" ht="15" customHeight="1" x14ac:dyDescent="0.45">
      <c r="A108" s="16" t="s">
        <v>190</v>
      </c>
      <c r="B108" s="16" t="s">
        <v>191</v>
      </c>
      <c r="C108" s="16" t="s">
        <v>829</v>
      </c>
      <c r="D108" s="16" t="s">
        <v>433</v>
      </c>
      <c r="E108" s="21">
        <v>640.9</v>
      </c>
      <c r="F108" s="16">
        <v>15</v>
      </c>
      <c r="G108" s="27">
        <v>36.4</v>
      </c>
      <c r="H108" s="21">
        <v>175.9</v>
      </c>
      <c r="I108" s="27">
        <v>21</v>
      </c>
      <c r="J108" s="27">
        <v>20.100000000000001</v>
      </c>
    </row>
    <row r="109" spans="1:10" ht="15" customHeight="1" x14ac:dyDescent="0.45">
      <c r="A109" s="18" t="s">
        <v>190</v>
      </c>
      <c r="B109" s="18" t="s">
        <v>191</v>
      </c>
      <c r="C109" s="18" t="s">
        <v>829</v>
      </c>
      <c r="D109" s="18" t="s">
        <v>419</v>
      </c>
      <c r="E109" s="24">
        <v>1143.5999999999999</v>
      </c>
      <c r="F109" s="18">
        <v>31</v>
      </c>
      <c r="G109" s="28">
        <v>20.9</v>
      </c>
      <c r="H109" s="24">
        <v>343.8</v>
      </c>
      <c r="I109" s="28">
        <v>19.7</v>
      </c>
      <c r="J109" s="28">
        <v>20.9</v>
      </c>
    </row>
    <row r="110" spans="1:10" ht="15" customHeight="1" x14ac:dyDescent="0.45">
      <c r="A110" s="16" t="s">
        <v>190</v>
      </c>
      <c r="B110" s="16" t="s">
        <v>191</v>
      </c>
      <c r="C110" s="16" t="s">
        <v>829</v>
      </c>
      <c r="D110" s="16" t="s">
        <v>830</v>
      </c>
      <c r="E110" s="21">
        <v>621.5</v>
      </c>
      <c r="F110" s="16">
        <v>9</v>
      </c>
      <c r="G110" s="27">
        <v>30.1</v>
      </c>
      <c r="H110" s="21">
        <v>139.19999999999999</v>
      </c>
      <c r="I110" s="27">
        <v>14.8</v>
      </c>
      <c r="J110" s="27">
        <v>26.2</v>
      </c>
    </row>
    <row r="111" spans="1:10" ht="15" customHeight="1" x14ac:dyDescent="0.45">
      <c r="A111" s="18" t="s">
        <v>190</v>
      </c>
      <c r="B111" s="18" t="s">
        <v>191</v>
      </c>
      <c r="C111" s="18" t="s">
        <v>829</v>
      </c>
      <c r="D111" s="18" t="s">
        <v>831</v>
      </c>
      <c r="E111" s="24">
        <v>453.3</v>
      </c>
      <c r="F111" s="18">
        <v>32</v>
      </c>
      <c r="G111" s="28">
        <v>31</v>
      </c>
      <c r="H111" s="24">
        <v>72.8</v>
      </c>
      <c r="I111" s="28">
        <v>20.3</v>
      </c>
      <c r="J111" s="28">
        <v>14.9</v>
      </c>
    </row>
    <row r="112" spans="1:10" ht="15" customHeight="1" x14ac:dyDescent="0.45">
      <c r="A112" s="16" t="s">
        <v>190</v>
      </c>
      <c r="B112" s="16" t="s">
        <v>191</v>
      </c>
      <c r="C112" s="16" t="s">
        <v>832</v>
      </c>
      <c r="D112" s="16" t="s">
        <v>439</v>
      </c>
      <c r="E112" s="21">
        <v>1439.5</v>
      </c>
      <c r="F112" s="16">
        <v>21</v>
      </c>
      <c r="G112" s="27">
        <v>41.7</v>
      </c>
      <c r="H112" s="21">
        <v>500.8</v>
      </c>
      <c r="I112" s="27">
        <v>9.6999999999999993</v>
      </c>
      <c r="J112" s="27">
        <v>24.8</v>
      </c>
    </row>
    <row r="113" spans="1:10" ht="15" customHeight="1" x14ac:dyDescent="0.45">
      <c r="A113" s="18" t="s">
        <v>190</v>
      </c>
      <c r="B113" s="18" t="s">
        <v>191</v>
      </c>
      <c r="C113" s="18" t="s">
        <v>832</v>
      </c>
      <c r="D113" s="18" t="s">
        <v>433</v>
      </c>
      <c r="E113" s="24">
        <v>756.8</v>
      </c>
      <c r="F113" s="18">
        <v>14</v>
      </c>
      <c r="G113" s="28">
        <v>53.3</v>
      </c>
      <c r="H113" s="24">
        <v>140.5</v>
      </c>
      <c r="I113" s="28">
        <v>16.899999999999999</v>
      </c>
      <c r="J113" s="28">
        <v>28.2</v>
      </c>
    </row>
    <row r="114" spans="1:10" ht="15" customHeight="1" x14ac:dyDescent="0.45">
      <c r="A114" s="16" t="s">
        <v>190</v>
      </c>
      <c r="B114" s="16" t="s">
        <v>191</v>
      </c>
      <c r="C114" s="16" t="s">
        <v>832</v>
      </c>
      <c r="D114" s="16" t="s">
        <v>419</v>
      </c>
      <c r="E114" s="21">
        <v>328.5</v>
      </c>
      <c r="F114" s="16">
        <v>8</v>
      </c>
      <c r="G114" s="27">
        <v>26.7</v>
      </c>
      <c r="H114" s="21">
        <v>102.3</v>
      </c>
      <c r="I114" s="27">
        <v>13.7</v>
      </c>
      <c r="J114" s="27">
        <v>33.4</v>
      </c>
    </row>
    <row r="115" spans="1:10" ht="15" customHeight="1" x14ac:dyDescent="0.45">
      <c r="A115" s="18" t="s">
        <v>190</v>
      </c>
      <c r="B115" s="18" t="s">
        <v>191</v>
      </c>
      <c r="C115" s="18" t="s">
        <v>832</v>
      </c>
      <c r="D115" s="18" t="s">
        <v>830</v>
      </c>
      <c r="E115" s="24">
        <v>325.7</v>
      </c>
      <c r="F115" s="18">
        <v>13</v>
      </c>
      <c r="G115" s="28">
        <v>43.1</v>
      </c>
      <c r="H115" s="24">
        <v>126.1</v>
      </c>
      <c r="I115" s="28">
        <v>13.8</v>
      </c>
      <c r="J115" s="28">
        <v>27.7</v>
      </c>
    </row>
    <row r="116" spans="1:10" ht="15" customHeight="1" x14ac:dyDescent="0.45">
      <c r="A116" s="16" t="s">
        <v>190</v>
      </c>
      <c r="B116" s="16" t="s">
        <v>191</v>
      </c>
      <c r="C116" s="16" t="s">
        <v>832</v>
      </c>
      <c r="D116" s="16" t="s">
        <v>831</v>
      </c>
      <c r="E116" s="21">
        <v>950.2</v>
      </c>
      <c r="F116" s="16">
        <v>27</v>
      </c>
      <c r="G116" s="27">
        <v>32.700000000000003</v>
      </c>
      <c r="H116" s="21">
        <v>296.8</v>
      </c>
      <c r="I116" s="27">
        <v>12.2</v>
      </c>
      <c r="J116" s="27">
        <v>7.5</v>
      </c>
    </row>
    <row r="117" spans="1:10" ht="15" customHeight="1" x14ac:dyDescent="0.45">
      <c r="A117" s="18" t="s">
        <v>190</v>
      </c>
      <c r="B117" s="18" t="s">
        <v>191</v>
      </c>
      <c r="C117" s="18" t="s">
        <v>833</v>
      </c>
      <c r="D117" s="18" t="s">
        <v>439</v>
      </c>
      <c r="E117" s="24">
        <v>1201.0999999999999</v>
      </c>
      <c r="F117" s="18">
        <v>35</v>
      </c>
      <c r="G117" s="28">
        <v>37.200000000000003</v>
      </c>
      <c r="H117" s="24">
        <v>454.5</v>
      </c>
      <c r="I117" s="28">
        <v>10.5</v>
      </c>
      <c r="J117" s="28">
        <v>28</v>
      </c>
    </row>
    <row r="118" spans="1:10" ht="15" customHeight="1" x14ac:dyDescent="0.45">
      <c r="A118" s="16" t="s">
        <v>190</v>
      </c>
      <c r="B118" s="16" t="s">
        <v>191</v>
      </c>
      <c r="C118" s="16" t="s">
        <v>833</v>
      </c>
      <c r="D118" s="16" t="s">
        <v>433</v>
      </c>
      <c r="E118" s="21">
        <v>1162.5999999999999</v>
      </c>
      <c r="F118" s="16">
        <v>17</v>
      </c>
      <c r="G118" s="27">
        <v>54.9</v>
      </c>
      <c r="H118" s="21">
        <v>257.39999999999998</v>
      </c>
      <c r="I118" s="27">
        <v>20.9</v>
      </c>
      <c r="J118" s="27">
        <v>19.2</v>
      </c>
    </row>
    <row r="119" spans="1:10" ht="15" customHeight="1" x14ac:dyDescent="0.45">
      <c r="A119" s="18" t="s">
        <v>190</v>
      </c>
      <c r="B119" s="18" t="s">
        <v>191</v>
      </c>
      <c r="C119" s="18" t="s">
        <v>833</v>
      </c>
      <c r="D119" s="18" t="s">
        <v>419</v>
      </c>
      <c r="E119" s="24">
        <v>454.1</v>
      </c>
      <c r="F119" s="18">
        <v>8</v>
      </c>
      <c r="G119" s="28">
        <v>34.700000000000003</v>
      </c>
      <c r="H119" s="24">
        <v>170.1</v>
      </c>
      <c r="I119" s="28">
        <v>14.8</v>
      </c>
      <c r="J119" s="28">
        <v>6.7</v>
      </c>
    </row>
    <row r="120" spans="1:10" ht="15" customHeight="1" x14ac:dyDescent="0.45">
      <c r="A120" s="16" t="s">
        <v>190</v>
      </c>
      <c r="B120" s="16" t="s">
        <v>191</v>
      </c>
      <c r="C120" s="16" t="s">
        <v>833</v>
      </c>
      <c r="D120" s="16" t="s">
        <v>830</v>
      </c>
      <c r="E120" s="21">
        <v>1135.5999999999999</v>
      </c>
      <c r="F120" s="16">
        <v>24</v>
      </c>
      <c r="G120" s="27">
        <v>42.7</v>
      </c>
      <c r="H120" s="21">
        <v>371.8</v>
      </c>
      <c r="I120" s="27">
        <v>16.100000000000001</v>
      </c>
      <c r="J120" s="27">
        <v>13</v>
      </c>
    </row>
    <row r="121" spans="1:10" ht="15" customHeight="1" x14ac:dyDescent="0.45">
      <c r="A121" s="18" t="s">
        <v>190</v>
      </c>
      <c r="B121" s="18" t="s">
        <v>191</v>
      </c>
      <c r="C121" s="18" t="s">
        <v>833</v>
      </c>
      <c r="D121" s="18" t="s">
        <v>831</v>
      </c>
      <c r="E121" s="24">
        <v>670.2</v>
      </c>
      <c r="F121" s="18">
        <v>14</v>
      </c>
      <c r="G121" s="28">
        <v>44.3</v>
      </c>
      <c r="H121" s="24">
        <v>255.9</v>
      </c>
      <c r="I121" s="28">
        <v>17.3</v>
      </c>
      <c r="J121" s="28">
        <v>28.6</v>
      </c>
    </row>
    <row r="122" spans="1:10" x14ac:dyDescent="0.45">
      <c r="A122" s="20" t="s">
        <v>197</v>
      </c>
      <c r="B122" s="20" t="s">
        <v>198</v>
      </c>
      <c r="C122" s="20">
        <v>2023</v>
      </c>
      <c r="D122" s="20" t="s">
        <v>439</v>
      </c>
      <c r="E122" s="20">
        <v>738</v>
      </c>
      <c r="F122" s="20">
        <v>20</v>
      </c>
      <c r="G122" s="20">
        <v>30.5</v>
      </c>
      <c r="H122" s="20">
        <v>228.8</v>
      </c>
      <c r="I122" s="20">
        <v>17.399999999999999</v>
      </c>
      <c r="J122" s="20">
        <v>30.4</v>
      </c>
    </row>
    <row r="123" spans="1:10" x14ac:dyDescent="0.45">
      <c r="A123" s="3" t="s">
        <v>197</v>
      </c>
      <c r="B123" s="3" t="s">
        <v>198</v>
      </c>
      <c r="C123" s="3">
        <v>2023</v>
      </c>
      <c r="D123" s="3" t="s">
        <v>433</v>
      </c>
      <c r="E123" s="3">
        <v>1312</v>
      </c>
      <c r="F123" s="3">
        <v>28</v>
      </c>
      <c r="G123" s="3">
        <v>53.3</v>
      </c>
      <c r="H123" s="3">
        <v>406.7</v>
      </c>
      <c r="I123" s="3">
        <v>20.5</v>
      </c>
      <c r="J123" s="3">
        <v>19.100000000000001</v>
      </c>
    </row>
    <row r="124" spans="1:10" x14ac:dyDescent="0.45">
      <c r="A124" s="20" t="s">
        <v>197</v>
      </c>
      <c r="B124" s="20" t="s">
        <v>198</v>
      </c>
      <c r="C124" s="20">
        <v>2023</v>
      </c>
      <c r="D124" s="20" t="s">
        <v>419</v>
      </c>
      <c r="E124" s="20">
        <v>984</v>
      </c>
      <c r="F124" s="20">
        <v>8</v>
      </c>
      <c r="G124" s="20">
        <v>26.7</v>
      </c>
      <c r="H124" s="20">
        <v>305</v>
      </c>
      <c r="I124" s="20">
        <v>12.7</v>
      </c>
      <c r="J124" s="20">
        <v>11.1</v>
      </c>
    </row>
    <row r="125" spans="1:10" x14ac:dyDescent="0.45">
      <c r="A125" s="3" t="s">
        <v>197</v>
      </c>
      <c r="B125" s="3" t="s">
        <v>198</v>
      </c>
      <c r="C125" s="3">
        <v>2023</v>
      </c>
      <c r="D125" s="3" t="s">
        <v>834</v>
      </c>
      <c r="E125" s="3">
        <v>1804</v>
      </c>
      <c r="F125" s="3">
        <v>35</v>
      </c>
      <c r="G125" s="3">
        <v>40</v>
      </c>
      <c r="H125" s="3">
        <v>559.20000000000005</v>
      </c>
      <c r="I125" s="3">
        <v>15</v>
      </c>
      <c r="J125" s="3">
        <v>22</v>
      </c>
    </row>
    <row r="126" spans="1:10" x14ac:dyDescent="0.45">
      <c r="A126" s="20" t="s">
        <v>197</v>
      </c>
      <c r="B126" s="20" t="s">
        <v>198</v>
      </c>
      <c r="C126" s="20">
        <v>2023</v>
      </c>
      <c r="D126" s="20" t="s">
        <v>831</v>
      </c>
      <c r="E126" s="20">
        <v>410</v>
      </c>
      <c r="F126" s="20">
        <v>5</v>
      </c>
      <c r="G126" s="20">
        <v>60</v>
      </c>
      <c r="H126" s="20">
        <v>127.1</v>
      </c>
      <c r="I126" s="20">
        <v>9</v>
      </c>
      <c r="J126" s="20">
        <v>8.5</v>
      </c>
    </row>
    <row r="127" spans="1:10" x14ac:dyDescent="0.45">
      <c r="A127" s="3" t="s">
        <v>197</v>
      </c>
      <c r="B127" s="3" t="s">
        <v>198</v>
      </c>
      <c r="C127" s="3">
        <v>2024</v>
      </c>
      <c r="D127" s="3" t="s">
        <v>439</v>
      </c>
      <c r="E127" s="3">
        <v>819</v>
      </c>
      <c r="F127" s="3">
        <v>20</v>
      </c>
      <c r="G127" s="3">
        <v>30.5</v>
      </c>
      <c r="H127" s="3">
        <v>253.9</v>
      </c>
      <c r="I127" s="3">
        <v>17.399999999999999</v>
      </c>
      <c r="J127" s="3">
        <v>30.4</v>
      </c>
    </row>
    <row r="128" spans="1:10" x14ac:dyDescent="0.45">
      <c r="A128" s="20" t="s">
        <v>197</v>
      </c>
      <c r="B128" s="20" t="s">
        <v>198</v>
      </c>
      <c r="C128" s="20">
        <v>2024</v>
      </c>
      <c r="D128" s="20" t="s">
        <v>433</v>
      </c>
      <c r="E128" s="20">
        <v>1456</v>
      </c>
      <c r="F128" s="20">
        <v>28</v>
      </c>
      <c r="G128" s="20">
        <v>53.3</v>
      </c>
      <c r="H128" s="20">
        <v>451.4</v>
      </c>
      <c r="I128" s="20">
        <v>20.5</v>
      </c>
      <c r="J128" s="20">
        <v>19.100000000000001</v>
      </c>
    </row>
    <row r="129" spans="1:10" x14ac:dyDescent="0.45">
      <c r="A129" s="3" t="s">
        <v>197</v>
      </c>
      <c r="B129" s="3" t="s">
        <v>198</v>
      </c>
      <c r="C129" s="3">
        <v>2024</v>
      </c>
      <c r="D129" s="3" t="s">
        <v>419</v>
      </c>
      <c r="E129" s="3">
        <v>1092</v>
      </c>
      <c r="F129" s="3">
        <v>8</v>
      </c>
      <c r="G129" s="3">
        <v>26.7</v>
      </c>
      <c r="H129" s="3">
        <v>338.5</v>
      </c>
      <c r="I129" s="3">
        <v>12.7</v>
      </c>
      <c r="J129" s="3">
        <v>11.1</v>
      </c>
    </row>
    <row r="130" spans="1:10" x14ac:dyDescent="0.45">
      <c r="A130" s="20" t="s">
        <v>197</v>
      </c>
      <c r="B130" s="20" t="s">
        <v>198</v>
      </c>
      <c r="C130" s="20">
        <v>2024</v>
      </c>
      <c r="D130" s="20" t="s">
        <v>834</v>
      </c>
      <c r="E130" s="20">
        <v>2002</v>
      </c>
      <c r="F130" s="20">
        <v>35</v>
      </c>
      <c r="G130" s="20">
        <v>40</v>
      </c>
      <c r="H130" s="20">
        <v>620.6</v>
      </c>
      <c r="I130" s="20">
        <v>15</v>
      </c>
      <c r="J130" s="20">
        <v>22</v>
      </c>
    </row>
    <row r="131" spans="1:10" x14ac:dyDescent="0.45">
      <c r="A131" s="3" t="s">
        <v>197</v>
      </c>
      <c r="B131" s="3" t="s">
        <v>198</v>
      </c>
      <c r="C131" s="3">
        <v>2024</v>
      </c>
      <c r="D131" s="3" t="s">
        <v>831</v>
      </c>
      <c r="E131" s="3">
        <v>455</v>
      </c>
      <c r="F131" s="3">
        <v>5</v>
      </c>
      <c r="G131" s="3">
        <v>60</v>
      </c>
      <c r="H131" s="3">
        <v>141.1</v>
      </c>
      <c r="I131" s="3">
        <v>9</v>
      </c>
      <c r="J131" s="3">
        <v>8.5</v>
      </c>
    </row>
    <row r="132" spans="1:10" x14ac:dyDescent="0.45">
      <c r="A132" s="20" t="s">
        <v>197</v>
      </c>
      <c r="B132" s="20" t="s">
        <v>198</v>
      </c>
      <c r="C132" s="20">
        <v>2025</v>
      </c>
      <c r="D132" s="20" t="s">
        <v>439</v>
      </c>
      <c r="E132" s="20">
        <v>900</v>
      </c>
      <c r="F132" s="20">
        <v>20</v>
      </c>
      <c r="G132" s="20">
        <v>30.5</v>
      </c>
      <c r="H132" s="20">
        <v>279</v>
      </c>
      <c r="I132" s="20">
        <v>17.399999999999999</v>
      </c>
      <c r="J132" s="20">
        <v>30.4</v>
      </c>
    </row>
    <row r="133" spans="1:10" x14ac:dyDescent="0.45">
      <c r="A133" s="3" t="s">
        <v>197</v>
      </c>
      <c r="B133" s="3" t="s">
        <v>198</v>
      </c>
      <c r="C133" s="3">
        <v>2025</v>
      </c>
      <c r="D133" s="3" t="s">
        <v>433</v>
      </c>
      <c r="E133" s="3">
        <v>1600</v>
      </c>
      <c r="F133" s="3">
        <v>28</v>
      </c>
      <c r="G133" s="3">
        <v>53.3</v>
      </c>
      <c r="H133" s="3">
        <v>496</v>
      </c>
      <c r="I133" s="3">
        <v>20.5</v>
      </c>
      <c r="J133" s="3">
        <v>19.100000000000001</v>
      </c>
    </row>
    <row r="134" spans="1:10" x14ac:dyDescent="0.45">
      <c r="A134" s="20" t="s">
        <v>197</v>
      </c>
      <c r="B134" s="20" t="s">
        <v>198</v>
      </c>
      <c r="C134" s="20">
        <v>2025</v>
      </c>
      <c r="D134" s="20" t="s">
        <v>419</v>
      </c>
      <c r="E134" s="20">
        <v>1200</v>
      </c>
      <c r="F134" s="20">
        <v>8</v>
      </c>
      <c r="G134" s="20">
        <v>26.7</v>
      </c>
      <c r="H134" s="20">
        <v>372</v>
      </c>
      <c r="I134" s="20">
        <v>12.7</v>
      </c>
      <c r="J134" s="20">
        <v>11.1</v>
      </c>
    </row>
    <row r="135" spans="1:10" x14ac:dyDescent="0.45">
      <c r="A135" s="3" t="s">
        <v>197</v>
      </c>
      <c r="B135" s="3" t="s">
        <v>198</v>
      </c>
      <c r="C135" s="3">
        <v>2025</v>
      </c>
      <c r="D135" s="3" t="s">
        <v>834</v>
      </c>
      <c r="E135" s="3">
        <v>2200</v>
      </c>
      <c r="F135" s="3">
        <v>35</v>
      </c>
      <c r="G135" s="3">
        <v>40</v>
      </c>
      <c r="H135" s="3">
        <v>682</v>
      </c>
      <c r="I135" s="3">
        <v>15</v>
      </c>
      <c r="J135" s="3">
        <v>22</v>
      </c>
    </row>
    <row r="136" spans="1:10" x14ac:dyDescent="0.45">
      <c r="A136" s="20" t="s">
        <v>197</v>
      </c>
      <c r="B136" s="20" t="s">
        <v>198</v>
      </c>
      <c r="C136" s="20">
        <v>2025</v>
      </c>
      <c r="D136" s="20" t="s">
        <v>831</v>
      </c>
      <c r="E136" s="20">
        <v>500</v>
      </c>
      <c r="F136" s="20">
        <v>5</v>
      </c>
      <c r="G136" s="20">
        <v>60</v>
      </c>
      <c r="H136" s="20">
        <v>155</v>
      </c>
      <c r="I136" s="20">
        <v>9</v>
      </c>
      <c r="J136" s="20">
        <v>8.5</v>
      </c>
    </row>
    <row r="137" spans="1:10" x14ac:dyDescent="0.45">
      <c r="A137" s="3" t="s">
        <v>204</v>
      </c>
      <c r="B137" s="3" t="s">
        <v>153</v>
      </c>
      <c r="C137" s="3">
        <v>2023</v>
      </c>
      <c r="D137" s="3" t="s">
        <v>439</v>
      </c>
      <c r="E137" s="3">
        <v>1148</v>
      </c>
      <c r="F137" s="3">
        <v>20</v>
      </c>
      <c r="G137" s="3">
        <v>30.5</v>
      </c>
      <c r="H137" s="3">
        <v>355.9</v>
      </c>
      <c r="I137" s="3">
        <v>17.399999999999999</v>
      </c>
      <c r="J137" s="3">
        <v>30.4</v>
      </c>
    </row>
    <row r="138" spans="1:10" x14ac:dyDescent="0.45">
      <c r="A138" s="20" t="s">
        <v>204</v>
      </c>
      <c r="B138" s="20" t="s">
        <v>153</v>
      </c>
      <c r="C138" s="20">
        <v>2023</v>
      </c>
      <c r="D138" s="20" t="s">
        <v>433</v>
      </c>
      <c r="E138" s="20">
        <v>246</v>
      </c>
      <c r="F138" s="20">
        <v>28</v>
      </c>
      <c r="G138" s="20">
        <v>53.3</v>
      </c>
      <c r="H138" s="20">
        <v>76.3</v>
      </c>
      <c r="I138" s="20">
        <v>20.5</v>
      </c>
      <c r="J138" s="20">
        <v>19.100000000000001</v>
      </c>
    </row>
    <row r="139" spans="1:10" x14ac:dyDescent="0.45">
      <c r="A139" s="3" t="s">
        <v>204</v>
      </c>
      <c r="B139" s="3" t="s">
        <v>153</v>
      </c>
      <c r="C139" s="3">
        <v>2023</v>
      </c>
      <c r="D139" s="3" t="s">
        <v>419</v>
      </c>
      <c r="E139" s="3">
        <v>41</v>
      </c>
      <c r="F139" s="3">
        <v>8</v>
      </c>
      <c r="G139" s="3">
        <v>26.7</v>
      </c>
      <c r="H139" s="3">
        <v>12.7</v>
      </c>
      <c r="I139" s="3">
        <v>12.7</v>
      </c>
      <c r="J139" s="3">
        <v>11.1</v>
      </c>
    </row>
    <row r="140" spans="1:10" x14ac:dyDescent="0.45">
      <c r="A140" s="20" t="s">
        <v>204</v>
      </c>
      <c r="B140" s="20" t="s">
        <v>153</v>
      </c>
      <c r="C140" s="20">
        <v>2023</v>
      </c>
      <c r="D140" s="20" t="s">
        <v>834</v>
      </c>
      <c r="E140" s="20">
        <v>328</v>
      </c>
      <c r="F140" s="20">
        <v>35</v>
      </c>
      <c r="G140" s="20">
        <v>40</v>
      </c>
      <c r="H140" s="20">
        <v>101.7</v>
      </c>
      <c r="I140" s="20">
        <v>15</v>
      </c>
      <c r="J140" s="20">
        <v>22</v>
      </c>
    </row>
    <row r="141" spans="1:10" x14ac:dyDescent="0.45">
      <c r="A141" s="3" t="s">
        <v>204</v>
      </c>
      <c r="B141" s="3" t="s">
        <v>153</v>
      </c>
      <c r="C141" s="3">
        <v>2023</v>
      </c>
      <c r="D141" s="3" t="s">
        <v>831</v>
      </c>
      <c r="E141" s="3">
        <v>574</v>
      </c>
      <c r="F141" s="3">
        <v>5</v>
      </c>
      <c r="G141" s="3">
        <v>60</v>
      </c>
      <c r="H141" s="3">
        <v>177.9</v>
      </c>
      <c r="I141" s="3">
        <v>9</v>
      </c>
      <c r="J141" s="3">
        <v>8.5</v>
      </c>
    </row>
    <row r="142" spans="1:10" x14ac:dyDescent="0.45">
      <c r="A142" s="20" t="s">
        <v>204</v>
      </c>
      <c r="B142" s="20" t="s">
        <v>153</v>
      </c>
      <c r="C142" s="20">
        <v>2024</v>
      </c>
      <c r="D142" s="20" t="s">
        <v>439</v>
      </c>
      <c r="E142" s="20">
        <v>1274</v>
      </c>
      <c r="F142" s="20">
        <v>20</v>
      </c>
      <c r="G142" s="20">
        <v>30.5</v>
      </c>
      <c r="H142" s="20">
        <v>394.9</v>
      </c>
      <c r="I142" s="20">
        <v>17.399999999999999</v>
      </c>
      <c r="J142" s="20">
        <v>30.4</v>
      </c>
    </row>
    <row r="143" spans="1:10" x14ac:dyDescent="0.45">
      <c r="A143" s="3" t="s">
        <v>204</v>
      </c>
      <c r="B143" s="3" t="s">
        <v>153</v>
      </c>
      <c r="C143" s="3">
        <v>2024</v>
      </c>
      <c r="D143" s="3" t="s">
        <v>433</v>
      </c>
      <c r="E143" s="3">
        <v>273</v>
      </c>
      <c r="F143" s="3">
        <v>28</v>
      </c>
      <c r="G143" s="3">
        <v>53.3</v>
      </c>
      <c r="H143" s="3">
        <v>84.6</v>
      </c>
      <c r="I143" s="3">
        <v>20.5</v>
      </c>
      <c r="J143" s="3">
        <v>19.100000000000001</v>
      </c>
    </row>
    <row r="144" spans="1:10" x14ac:dyDescent="0.45">
      <c r="A144" s="20" t="s">
        <v>204</v>
      </c>
      <c r="B144" s="20" t="s">
        <v>153</v>
      </c>
      <c r="C144" s="20">
        <v>2024</v>
      </c>
      <c r="D144" s="20" t="s">
        <v>419</v>
      </c>
      <c r="E144" s="20">
        <v>45.5</v>
      </c>
      <c r="F144" s="20">
        <v>8</v>
      </c>
      <c r="G144" s="20">
        <v>26.7</v>
      </c>
      <c r="H144" s="20">
        <v>14.1</v>
      </c>
      <c r="I144" s="20">
        <v>12.7</v>
      </c>
      <c r="J144" s="20">
        <v>11.1</v>
      </c>
    </row>
    <row r="145" spans="1:10" x14ac:dyDescent="0.45">
      <c r="A145" s="3" t="s">
        <v>204</v>
      </c>
      <c r="B145" s="3" t="s">
        <v>153</v>
      </c>
      <c r="C145" s="3">
        <v>2024</v>
      </c>
      <c r="D145" s="3" t="s">
        <v>834</v>
      </c>
      <c r="E145" s="3">
        <v>364</v>
      </c>
      <c r="F145" s="3">
        <v>35</v>
      </c>
      <c r="G145" s="3">
        <v>40</v>
      </c>
      <c r="H145" s="3">
        <v>112.8</v>
      </c>
      <c r="I145" s="3">
        <v>15</v>
      </c>
      <c r="J145" s="3">
        <v>22</v>
      </c>
    </row>
    <row r="146" spans="1:10" x14ac:dyDescent="0.45">
      <c r="A146" s="20" t="s">
        <v>204</v>
      </c>
      <c r="B146" s="20" t="s">
        <v>153</v>
      </c>
      <c r="C146" s="20">
        <v>2024</v>
      </c>
      <c r="D146" s="20" t="s">
        <v>831</v>
      </c>
      <c r="E146" s="20">
        <v>637</v>
      </c>
      <c r="F146" s="20">
        <v>5</v>
      </c>
      <c r="G146" s="20">
        <v>60</v>
      </c>
      <c r="H146" s="20">
        <v>197.5</v>
      </c>
      <c r="I146" s="20">
        <v>9</v>
      </c>
      <c r="J146" s="20">
        <v>8.5</v>
      </c>
    </row>
    <row r="147" spans="1:10" x14ac:dyDescent="0.45">
      <c r="A147" s="3" t="s">
        <v>204</v>
      </c>
      <c r="B147" s="3" t="s">
        <v>153</v>
      </c>
      <c r="C147" s="3">
        <v>2025</v>
      </c>
      <c r="D147" s="3" t="s">
        <v>439</v>
      </c>
      <c r="E147" s="3">
        <v>1400</v>
      </c>
      <c r="F147" s="3">
        <v>20</v>
      </c>
      <c r="G147" s="3">
        <v>30.5</v>
      </c>
      <c r="H147" s="3">
        <v>434</v>
      </c>
      <c r="I147" s="3">
        <v>17.399999999999999</v>
      </c>
      <c r="J147" s="3">
        <v>30.4</v>
      </c>
    </row>
    <row r="148" spans="1:10" x14ac:dyDescent="0.45">
      <c r="A148" s="20" t="s">
        <v>204</v>
      </c>
      <c r="B148" s="20" t="s">
        <v>153</v>
      </c>
      <c r="C148" s="20">
        <v>2025</v>
      </c>
      <c r="D148" s="20" t="s">
        <v>433</v>
      </c>
      <c r="E148" s="20">
        <v>300</v>
      </c>
      <c r="F148" s="20">
        <v>28</v>
      </c>
      <c r="G148" s="20">
        <v>53.3</v>
      </c>
      <c r="H148" s="20">
        <v>93</v>
      </c>
      <c r="I148" s="20">
        <v>20.5</v>
      </c>
      <c r="J148" s="20">
        <v>19.100000000000001</v>
      </c>
    </row>
    <row r="149" spans="1:10" x14ac:dyDescent="0.45">
      <c r="A149" s="3" t="s">
        <v>204</v>
      </c>
      <c r="B149" s="3" t="s">
        <v>153</v>
      </c>
      <c r="C149" s="3">
        <v>2025</v>
      </c>
      <c r="D149" s="3" t="s">
        <v>419</v>
      </c>
      <c r="E149" s="3">
        <v>50</v>
      </c>
      <c r="F149" s="3">
        <v>8</v>
      </c>
      <c r="G149" s="3">
        <v>26.7</v>
      </c>
      <c r="H149" s="3">
        <v>15.5</v>
      </c>
      <c r="I149" s="3">
        <v>12.7</v>
      </c>
      <c r="J149" s="3">
        <v>11.1</v>
      </c>
    </row>
    <row r="150" spans="1:10" x14ac:dyDescent="0.45">
      <c r="A150" s="20" t="s">
        <v>204</v>
      </c>
      <c r="B150" s="20" t="s">
        <v>153</v>
      </c>
      <c r="C150" s="20">
        <v>2025</v>
      </c>
      <c r="D150" s="20" t="s">
        <v>834</v>
      </c>
      <c r="E150" s="20">
        <v>400</v>
      </c>
      <c r="F150" s="20">
        <v>35</v>
      </c>
      <c r="G150" s="20">
        <v>40</v>
      </c>
      <c r="H150" s="20">
        <v>124</v>
      </c>
      <c r="I150" s="20">
        <v>15</v>
      </c>
      <c r="J150" s="20">
        <v>22</v>
      </c>
    </row>
    <row r="151" spans="1:10" x14ac:dyDescent="0.45">
      <c r="A151" s="3" t="s">
        <v>204</v>
      </c>
      <c r="B151" s="3" t="s">
        <v>153</v>
      </c>
      <c r="C151" s="3">
        <v>2025</v>
      </c>
      <c r="D151" s="3" t="s">
        <v>831</v>
      </c>
      <c r="E151" s="3">
        <v>700</v>
      </c>
      <c r="F151" s="3">
        <v>5</v>
      </c>
      <c r="G151" s="3">
        <v>60</v>
      </c>
      <c r="H151" s="3">
        <v>217</v>
      </c>
      <c r="I151" s="3">
        <v>9</v>
      </c>
      <c r="J151" s="3">
        <v>8.5</v>
      </c>
    </row>
    <row r="152" spans="1:10" x14ac:dyDescent="0.45">
      <c r="A152" s="20" t="s">
        <v>205</v>
      </c>
      <c r="B152" s="20" t="s">
        <v>206</v>
      </c>
      <c r="C152" s="20">
        <v>2023</v>
      </c>
      <c r="D152" s="20" t="s">
        <v>439</v>
      </c>
      <c r="E152" s="20">
        <v>656</v>
      </c>
      <c r="F152" s="20">
        <v>20</v>
      </c>
      <c r="G152" s="20">
        <v>30.5</v>
      </c>
      <c r="H152" s="20">
        <v>203.4</v>
      </c>
      <c r="I152" s="20">
        <v>17.399999999999999</v>
      </c>
      <c r="J152" s="20">
        <v>30.4</v>
      </c>
    </row>
    <row r="153" spans="1:10" x14ac:dyDescent="0.45">
      <c r="A153" s="3" t="s">
        <v>205</v>
      </c>
      <c r="B153" s="3" t="s">
        <v>206</v>
      </c>
      <c r="C153" s="3">
        <v>2023</v>
      </c>
      <c r="D153" s="3" t="s">
        <v>433</v>
      </c>
      <c r="E153" s="3">
        <v>902</v>
      </c>
      <c r="F153" s="3">
        <v>28</v>
      </c>
      <c r="G153" s="3">
        <v>53.3</v>
      </c>
      <c r="H153" s="3">
        <v>279.60000000000002</v>
      </c>
      <c r="I153" s="3">
        <v>20.5</v>
      </c>
      <c r="J153" s="3">
        <v>19.100000000000001</v>
      </c>
    </row>
    <row r="154" spans="1:10" x14ac:dyDescent="0.45">
      <c r="A154" s="20" t="s">
        <v>205</v>
      </c>
      <c r="B154" s="20" t="s">
        <v>206</v>
      </c>
      <c r="C154" s="20">
        <v>2023</v>
      </c>
      <c r="D154" s="20" t="s">
        <v>419</v>
      </c>
      <c r="E154" s="20">
        <v>738</v>
      </c>
      <c r="F154" s="20">
        <v>8</v>
      </c>
      <c r="G154" s="20">
        <v>26.7</v>
      </c>
      <c r="H154" s="20">
        <v>228.8</v>
      </c>
      <c r="I154" s="20">
        <v>12.7</v>
      </c>
      <c r="J154" s="20">
        <v>11.1</v>
      </c>
    </row>
    <row r="155" spans="1:10" x14ac:dyDescent="0.45">
      <c r="A155" s="3" t="s">
        <v>205</v>
      </c>
      <c r="B155" s="3" t="s">
        <v>206</v>
      </c>
      <c r="C155" s="3">
        <v>2023</v>
      </c>
      <c r="D155" s="3" t="s">
        <v>834</v>
      </c>
      <c r="E155" s="3">
        <v>492</v>
      </c>
      <c r="F155" s="3">
        <v>35</v>
      </c>
      <c r="G155" s="3">
        <v>40</v>
      </c>
      <c r="H155" s="3">
        <v>152.5</v>
      </c>
      <c r="I155" s="3">
        <v>15</v>
      </c>
      <c r="J155" s="3">
        <v>22</v>
      </c>
    </row>
    <row r="156" spans="1:10" x14ac:dyDescent="0.45">
      <c r="A156" s="20" t="s">
        <v>205</v>
      </c>
      <c r="B156" s="20" t="s">
        <v>206</v>
      </c>
      <c r="C156" s="20">
        <v>2023</v>
      </c>
      <c r="D156" s="20" t="s">
        <v>831</v>
      </c>
      <c r="E156" s="20">
        <v>328</v>
      </c>
      <c r="F156" s="20">
        <v>5</v>
      </c>
      <c r="G156" s="20">
        <v>60</v>
      </c>
      <c r="H156" s="20">
        <v>101.7</v>
      </c>
      <c r="I156" s="20">
        <v>9</v>
      </c>
      <c r="J156" s="20">
        <v>8.5</v>
      </c>
    </row>
    <row r="157" spans="1:10" x14ac:dyDescent="0.45">
      <c r="A157" s="3" t="s">
        <v>205</v>
      </c>
      <c r="B157" s="3" t="s">
        <v>206</v>
      </c>
      <c r="C157" s="3">
        <v>2024</v>
      </c>
      <c r="D157" s="3" t="s">
        <v>439</v>
      </c>
      <c r="E157" s="3">
        <v>728</v>
      </c>
      <c r="F157" s="3">
        <v>20</v>
      </c>
      <c r="G157" s="3">
        <v>30.5</v>
      </c>
      <c r="H157" s="3">
        <v>225.7</v>
      </c>
      <c r="I157" s="3">
        <v>17.399999999999999</v>
      </c>
      <c r="J157" s="3">
        <v>30.4</v>
      </c>
    </row>
    <row r="158" spans="1:10" x14ac:dyDescent="0.45">
      <c r="A158" s="20" t="s">
        <v>205</v>
      </c>
      <c r="B158" s="20" t="s">
        <v>206</v>
      </c>
      <c r="C158" s="20">
        <v>2024</v>
      </c>
      <c r="D158" s="20" t="s">
        <v>433</v>
      </c>
      <c r="E158" s="20">
        <v>1001</v>
      </c>
      <c r="F158" s="20">
        <v>28</v>
      </c>
      <c r="G158" s="20">
        <v>53.3</v>
      </c>
      <c r="H158" s="20">
        <v>310.3</v>
      </c>
      <c r="I158" s="20">
        <v>20.5</v>
      </c>
      <c r="J158" s="20">
        <v>19.100000000000001</v>
      </c>
    </row>
    <row r="159" spans="1:10" x14ac:dyDescent="0.45">
      <c r="A159" s="3" t="s">
        <v>205</v>
      </c>
      <c r="B159" s="3" t="s">
        <v>206</v>
      </c>
      <c r="C159" s="3">
        <v>2024</v>
      </c>
      <c r="D159" s="3" t="s">
        <v>419</v>
      </c>
      <c r="E159" s="3">
        <v>819</v>
      </c>
      <c r="F159" s="3">
        <v>8</v>
      </c>
      <c r="G159" s="3">
        <v>26.7</v>
      </c>
      <c r="H159" s="3">
        <v>253.9</v>
      </c>
      <c r="I159" s="3">
        <v>12.7</v>
      </c>
      <c r="J159" s="3">
        <v>11.1</v>
      </c>
    </row>
    <row r="160" spans="1:10" x14ac:dyDescent="0.45">
      <c r="A160" s="20" t="s">
        <v>205</v>
      </c>
      <c r="B160" s="20" t="s">
        <v>206</v>
      </c>
      <c r="C160" s="20">
        <v>2024</v>
      </c>
      <c r="D160" s="20" t="s">
        <v>834</v>
      </c>
      <c r="E160" s="20">
        <v>546</v>
      </c>
      <c r="F160" s="20">
        <v>35</v>
      </c>
      <c r="G160" s="20">
        <v>40</v>
      </c>
      <c r="H160" s="20">
        <v>169.3</v>
      </c>
      <c r="I160" s="20">
        <v>15</v>
      </c>
      <c r="J160" s="20">
        <v>22</v>
      </c>
    </row>
    <row r="161" spans="1:10" x14ac:dyDescent="0.45">
      <c r="A161" s="3" t="s">
        <v>205</v>
      </c>
      <c r="B161" s="3" t="s">
        <v>206</v>
      </c>
      <c r="C161" s="3">
        <v>2024</v>
      </c>
      <c r="D161" s="3" t="s">
        <v>831</v>
      </c>
      <c r="E161" s="3">
        <v>364</v>
      </c>
      <c r="F161" s="3">
        <v>5</v>
      </c>
      <c r="G161" s="3">
        <v>60</v>
      </c>
      <c r="H161" s="3">
        <v>112.8</v>
      </c>
      <c r="I161" s="3">
        <v>9</v>
      </c>
      <c r="J161" s="3">
        <v>8.5</v>
      </c>
    </row>
    <row r="162" spans="1:10" x14ac:dyDescent="0.45">
      <c r="A162" s="20" t="s">
        <v>205</v>
      </c>
      <c r="B162" s="20" t="s">
        <v>206</v>
      </c>
      <c r="C162" s="20">
        <v>2025</v>
      </c>
      <c r="D162" s="20" t="s">
        <v>439</v>
      </c>
      <c r="E162" s="20">
        <v>800</v>
      </c>
      <c r="F162" s="20">
        <v>20</v>
      </c>
      <c r="G162" s="20">
        <v>30.5</v>
      </c>
      <c r="H162" s="20">
        <v>248</v>
      </c>
      <c r="I162" s="20">
        <v>17.399999999999999</v>
      </c>
      <c r="J162" s="20">
        <v>30.4</v>
      </c>
    </row>
    <row r="163" spans="1:10" x14ac:dyDescent="0.45">
      <c r="A163" s="3" t="s">
        <v>205</v>
      </c>
      <c r="B163" s="3" t="s">
        <v>206</v>
      </c>
      <c r="C163" s="3">
        <v>2025</v>
      </c>
      <c r="D163" s="3" t="s">
        <v>433</v>
      </c>
      <c r="E163" s="3">
        <v>1100</v>
      </c>
      <c r="F163" s="3">
        <v>28</v>
      </c>
      <c r="G163" s="3">
        <v>53.3</v>
      </c>
      <c r="H163" s="3">
        <v>341</v>
      </c>
      <c r="I163" s="3">
        <v>20.5</v>
      </c>
      <c r="J163" s="3">
        <v>19.100000000000001</v>
      </c>
    </row>
    <row r="164" spans="1:10" x14ac:dyDescent="0.45">
      <c r="A164" s="20" t="s">
        <v>205</v>
      </c>
      <c r="B164" s="20" t="s">
        <v>206</v>
      </c>
      <c r="C164" s="20">
        <v>2025</v>
      </c>
      <c r="D164" s="20" t="s">
        <v>419</v>
      </c>
      <c r="E164" s="20">
        <v>900</v>
      </c>
      <c r="F164" s="20">
        <v>8</v>
      </c>
      <c r="G164" s="20">
        <v>26.7</v>
      </c>
      <c r="H164" s="20">
        <v>279</v>
      </c>
      <c r="I164" s="20">
        <v>12.7</v>
      </c>
      <c r="J164" s="20">
        <v>11.1</v>
      </c>
    </row>
    <row r="165" spans="1:10" x14ac:dyDescent="0.45">
      <c r="A165" s="3" t="s">
        <v>205</v>
      </c>
      <c r="B165" s="3" t="s">
        <v>206</v>
      </c>
      <c r="C165" s="3">
        <v>2025</v>
      </c>
      <c r="D165" s="3" t="s">
        <v>834</v>
      </c>
      <c r="E165" s="3">
        <v>600</v>
      </c>
      <c r="F165" s="3">
        <v>35</v>
      </c>
      <c r="G165" s="3">
        <v>40</v>
      </c>
      <c r="H165" s="3">
        <v>186</v>
      </c>
      <c r="I165" s="3">
        <v>15</v>
      </c>
      <c r="J165" s="3">
        <v>22</v>
      </c>
    </row>
    <row r="166" spans="1:10" x14ac:dyDescent="0.45">
      <c r="A166" s="20" t="s">
        <v>205</v>
      </c>
      <c r="B166" s="20" t="s">
        <v>206</v>
      </c>
      <c r="C166" s="20">
        <v>2025</v>
      </c>
      <c r="D166" s="20" t="s">
        <v>831</v>
      </c>
      <c r="E166" s="20">
        <v>400</v>
      </c>
      <c r="F166" s="20">
        <v>5</v>
      </c>
      <c r="G166" s="20">
        <v>60</v>
      </c>
      <c r="H166" s="20">
        <v>124</v>
      </c>
      <c r="I166" s="20">
        <v>9</v>
      </c>
      <c r="J166" s="20">
        <v>8.5</v>
      </c>
    </row>
    <row r="167" spans="1:10" x14ac:dyDescent="0.45">
      <c r="A167" s="3" t="s">
        <v>209</v>
      </c>
      <c r="B167" s="3" t="s">
        <v>210</v>
      </c>
      <c r="C167" s="3">
        <v>2023</v>
      </c>
      <c r="D167" s="3" t="s">
        <v>439</v>
      </c>
      <c r="E167" s="3">
        <v>492</v>
      </c>
      <c r="F167" s="3">
        <v>20</v>
      </c>
      <c r="G167" s="3">
        <v>30.5</v>
      </c>
      <c r="H167" s="3">
        <v>152.5</v>
      </c>
      <c r="I167" s="3">
        <v>17.399999999999999</v>
      </c>
      <c r="J167" s="3">
        <v>30.4</v>
      </c>
    </row>
    <row r="168" spans="1:10" x14ac:dyDescent="0.45">
      <c r="A168" s="20" t="s">
        <v>209</v>
      </c>
      <c r="B168" s="20" t="s">
        <v>210</v>
      </c>
      <c r="C168" s="20">
        <v>2023</v>
      </c>
      <c r="D168" s="20" t="s">
        <v>433</v>
      </c>
      <c r="E168" s="20">
        <v>246</v>
      </c>
      <c r="F168" s="20">
        <v>28</v>
      </c>
      <c r="G168" s="20">
        <v>53.3</v>
      </c>
      <c r="H168" s="20">
        <v>76.3</v>
      </c>
      <c r="I168" s="20">
        <v>20.5</v>
      </c>
      <c r="J168" s="20">
        <v>19.100000000000001</v>
      </c>
    </row>
    <row r="169" spans="1:10" x14ac:dyDescent="0.45">
      <c r="A169" s="3" t="s">
        <v>209</v>
      </c>
      <c r="B169" s="3" t="s">
        <v>210</v>
      </c>
      <c r="C169" s="3">
        <v>2023</v>
      </c>
      <c r="D169" s="3" t="s">
        <v>419</v>
      </c>
      <c r="E169" s="3">
        <v>1066</v>
      </c>
      <c r="F169" s="3">
        <v>8</v>
      </c>
      <c r="G169" s="3">
        <v>26.7</v>
      </c>
      <c r="H169" s="3">
        <v>330.5</v>
      </c>
      <c r="I169" s="3">
        <v>12.7</v>
      </c>
      <c r="J169" s="3">
        <v>11.1</v>
      </c>
    </row>
    <row r="170" spans="1:10" x14ac:dyDescent="0.45">
      <c r="A170" s="20" t="s">
        <v>209</v>
      </c>
      <c r="B170" s="20" t="s">
        <v>210</v>
      </c>
      <c r="C170" s="20">
        <v>2023</v>
      </c>
      <c r="D170" s="20" t="s">
        <v>834</v>
      </c>
      <c r="E170" s="20">
        <v>410</v>
      </c>
      <c r="F170" s="20">
        <v>35</v>
      </c>
      <c r="G170" s="20">
        <v>40</v>
      </c>
      <c r="H170" s="20">
        <v>127.1</v>
      </c>
      <c r="I170" s="20">
        <v>15</v>
      </c>
      <c r="J170" s="20">
        <v>22</v>
      </c>
    </row>
    <row r="171" spans="1:10" x14ac:dyDescent="0.45">
      <c r="A171" s="3" t="s">
        <v>209</v>
      </c>
      <c r="B171" s="3" t="s">
        <v>210</v>
      </c>
      <c r="C171" s="3">
        <v>2023</v>
      </c>
      <c r="D171" s="3" t="s">
        <v>831</v>
      </c>
      <c r="E171" s="3">
        <v>205</v>
      </c>
      <c r="F171" s="3">
        <v>5</v>
      </c>
      <c r="G171" s="3">
        <v>60</v>
      </c>
      <c r="H171" s="3">
        <v>63.5</v>
      </c>
      <c r="I171" s="3">
        <v>9</v>
      </c>
      <c r="J171" s="3">
        <v>8.5</v>
      </c>
    </row>
    <row r="172" spans="1:10" x14ac:dyDescent="0.45">
      <c r="A172" s="20" t="s">
        <v>209</v>
      </c>
      <c r="B172" s="20" t="s">
        <v>210</v>
      </c>
      <c r="C172" s="20">
        <v>2024</v>
      </c>
      <c r="D172" s="20" t="s">
        <v>439</v>
      </c>
      <c r="E172" s="20">
        <v>546</v>
      </c>
      <c r="F172" s="20">
        <v>20</v>
      </c>
      <c r="G172" s="20">
        <v>30.5</v>
      </c>
      <c r="H172" s="20">
        <v>169.3</v>
      </c>
      <c r="I172" s="20">
        <v>17.399999999999999</v>
      </c>
      <c r="J172" s="20">
        <v>30.4</v>
      </c>
    </row>
    <row r="173" spans="1:10" x14ac:dyDescent="0.45">
      <c r="A173" s="3" t="s">
        <v>209</v>
      </c>
      <c r="B173" s="3" t="s">
        <v>210</v>
      </c>
      <c r="C173" s="3">
        <v>2024</v>
      </c>
      <c r="D173" s="3" t="s">
        <v>433</v>
      </c>
      <c r="E173" s="3">
        <v>273</v>
      </c>
      <c r="F173" s="3">
        <v>28</v>
      </c>
      <c r="G173" s="3">
        <v>53.3</v>
      </c>
      <c r="H173" s="3">
        <v>84.6</v>
      </c>
      <c r="I173" s="3">
        <v>20.5</v>
      </c>
      <c r="J173" s="3">
        <v>19.100000000000001</v>
      </c>
    </row>
    <row r="174" spans="1:10" x14ac:dyDescent="0.45">
      <c r="A174" s="20" t="s">
        <v>209</v>
      </c>
      <c r="B174" s="20" t="s">
        <v>210</v>
      </c>
      <c r="C174" s="20">
        <v>2024</v>
      </c>
      <c r="D174" s="20" t="s">
        <v>419</v>
      </c>
      <c r="E174" s="20">
        <v>1183</v>
      </c>
      <c r="F174" s="20">
        <v>8</v>
      </c>
      <c r="G174" s="20">
        <v>26.7</v>
      </c>
      <c r="H174" s="20">
        <v>366.7</v>
      </c>
      <c r="I174" s="20">
        <v>12.7</v>
      </c>
      <c r="J174" s="20">
        <v>11.1</v>
      </c>
    </row>
    <row r="175" spans="1:10" x14ac:dyDescent="0.45">
      <c r="A175" s="3" t="s">
        <v>209</v>
      </c>
      <c r="B175" s="3" t="s">
        <v>210</v>
      </c>
      <c r="C175" s="3">
        <v>2024</v>
      </c>
      <c r="D175" s="3" t="s">
        <v>834</v>
      </c>
      <c r="E175" s="3">
        <v>455</v>
      </c>
      <c r="F175" s="3">
        <v>35</v>
      </c>
      <c r="G175" s="3">
        <v>40</v>
      </c>
      <c r="H175" s="3">
        <v>141.1</v>
      </c>
      <c r="I175" s="3">
        <v>15</v>
      </c>
      <c r="J175" s="3">
        <v>22</v>
      </c>
    </row>
    <row r="176" spans="1:10" x14ac:dyDescent="0.45">
      <c r="A176" s="20" t="s">
        <v>209</v>
      </c>
      <c r="B176" s="20" t="s">
        <v>210</v>
      </c>
      <c r="C176" s="20">
        <v>2024</v>
      </c>
      <c r="D176" s="20" t="s">
        <v>831</v>
      </c>
      <c r="E176" s="20">
        <v>227.5</v>
      </c>
      <c r="F176" s="20">
        <v>5</v>
      </c>
      <c r="G176" s="20">
        <v>60</v>
      </c>
      <c r="H176" s="20">
        <v>70.5</v>
      </c>
      <c r="I176" s="20">
        <v>9</v>
      </c>
      <c r="J176" s="20">
        <v>8.5</v>
      </c>
    </row>
    <row r="177" spans="1:10" x14ac:dyDescent="0.45">
      <c r="A177" s="3" t="s">
        <v>209</v>
      </c>
      <c r="B177" s="3" t="s">
        <v>210</v>
      </c>
      <c r="C177" s="3">
        <v>2025</v>
      </c>
      <c r="D177" s="3" t="s">
        <v>439</v>
      </c>
      <c r="E177" s="3">
        <v>600</v>
      </c>
      <c r="F177" s="3">
        <v>20</v>
      </c>
      <c r="G177" s="3">
        <v>30.5</v>
      </c>
      <c r="H177" s="3">
        <v>186</v>
      </c>
      <c r="I177" s="3">
        <v>17.399999999999999</v>
      </c>
      <c r="J177" s="3">
        <v>30.4</v>
      </c>
    </row>
    <row r="178" spans="1:10" x14ac:dyDescent="0.45">
      <c r="A178" s="20" t="s">
        <v>209</v>
      </c>
      <c r="B178" s="20" t="s">
        <v>210</v>
      </c>
      <c r="C178" s="20">
        <v>2025</v>
      </c>
      <c r="D178" s="20" t="s">
        <v>433</v>
      </c>
      <c r="E178" s="20">
        <v>300</v>
      </c>
      <c r="F178" s="20">
        <v>28</v>
      </c>
      <c r="G178" s="20">
        <v>53.3</v>
      </c>
      <c r="H178" s="20">
        <v>93</v>
      </c>
      <c r="I178" s="20">
        <v>20.5</v>
      </c>
      <c r="J178" s="20">
        <v>19.100000000000001</v>
      </c>
    </row>
    <row r="179" spans="1:10" x14ac:dyDescent="0.45">
      <c r="A179" s="3" t="s">
        <v>209</v>
      </c>
      <c r="B179" s="3" t="s">
        <v>210</v>
      </c>
      <c r="C179" s="3">
        <v>2025</v>
      </c>
      <c r="D179" s="3" t="s">
        <v>419</v>
      </c>
      <c r="E179" s="3">
        <v>1300</v>
      </c>
      <c r="F179" s="3">
        <v>8</v>
      </c>
      <c r="G179" s="3">
        <v>26.7</v>
      </c>
      <c r="H179" s="3">
        <v>403</v>
      </c>
      <c r="I179" s="3">
        <v>12.7</v>
      </c>
      <c r="J179" s="3">
        <v>11.1</v>
      </c>
    </row>
    <row r="180" spans="1:10" x14ac:dyDescent="0.45">
      <c r="A180" s="20" t="s">
        <v>209</v>
      </c>
      <c r="B180" s="20" t="s">
        <v>210</v>
      </c>
      <c r="C180" s="20">
        <v>2025</v>
      </c>
      <c r="D180" s="20" t="s">
        <v>834</v>
      </c>
      <c r="E180" s="20">
        <v>500</v>
      </c>
      <c r="F180" s="20">
        <v>35</v>
      </c>
      <c r="G180" s="20">
        <v>40</v>
      </c>
      <c r="H180" s="20">
        <v>155</v>
      </c>
      <c r="I180" s="20">
        <v>15</v>
      </c>
      <c r="J180" s="20">
        <v>22</v>
      </c>
    </row>
    <row r="181" spans="1:10" x14ac:dyDescent="0.45">
      <c r="A181" s="3" t="s">
        <v>209</v>
      </c>
      <c r="B181" s="3" t="s">
        <v>210</v>
      </c>
      <c r="C181" s="3">
        <v>2025</v>
      </c>
      <c r="D181" s="3" t="s">
        <v>831</v>
      </c>
      <c r="E181" s="3">
        <v>250</v>
      </c>
      <c r="F181" s="3">
        <v>5</v>
      </c>
      <c r="G181" s="3">
        <v>60</v>
      </c>
      <c r="H181" s="3">
        <v>77.5</v>
      </c>
      <c r="I181" s="3">
        <v>9</v>
      </c>
      <c r="J181" s="3">
        <v>8.5</v>
      </c>
    </row>
    <row r="182" spans="1:10" x14ac:dyDescent="0.45">
      <c r="A182" s="20" t="s">
        <v>213</v>
      </c>
      <c r="B182" s="20" t="s">
        <v>214</v>
      </c>
      <c r="C182" s="20">
        <v>2023</v>
      </c>
      <c r="D182" s="20" t="s">
        <v>439</v>
      </c>
      <c r="E182" s="20">
        <v>574</v>
      </c>
      <c r="F182" s="20">
        <v>20</v>
      </c>
      <c r="G182" s="20">
        <v>30.5</v>
      </c>
      <c r="H182" s="20">
        <v>177.9</v>
      </c>
      <c r="I182" s="20">
        <v>17.399999999999999</v>
      </c>
      <c r="J182" s="20">
        <v>30.4</v>
      </c>
    </row>
    <row r="183" spans="1:10" x14ac:dyDescent="0.45">
      <c r="A183" s="3" t="s">
        <v>213</v>
      </c>
      <c r="B183" s="3" t="s">
        <v>214</v>
      </c>
      <c r="C183" s="3">
        <v>2023</v>
      </c>
      <c r="D183" s="3" t="s">
        <v>433</v>
      </c>
      <c r="E183" s="3">
        <v>738</v>
      </c>
      <c r="F183" s="3">
        <v>28</v>
      </c>
      <c r="G183" s="3">
        <v>53.3</v>
      </c>
      <c r="H183" s="3">
        <v>228.8</v>
      </c>
      <c r="I183" s="3">
        <v>20.5</v>
      </c>
      <c r="J183" s="3">
        <v>19.100000000000001</v>
      </c>
    </row>
    <row r="184" spans="1:10" x14ac:dyDescent="0.45">
      <c r="A184" s="20" t="s">
        <v>213</v>
      </c>
      <c r="B184" s="20" t="s">
        <v>214</v>
      </c>
      <c r="C184" s="20">
        <v>2023</v>
      </c>
      <c r="D184" s="20" t="s">
        <v>419</v>
      </c>
      <c r="E184" s="20">
        <v>82</v>
      </c>
      <c r="F184" s="20">
        <v>8</v>
      </c>
      <c r="G184" s="20">
        <v>26.7</v>
      </c>
      <c r="H184" s="20">
        <v>25.4</v>
      </c>
      <c r="I184" s="20">
        <v>12.7</v>
      </c>
      <c r="J184" s="20">
        <v>11.1</v>
      </c>
    </row>
    <row r="185" spans="1:10" x14ac:dyDescent="0.45">
      <c r="A185" s="3" t="s">
        <v>213</v>
      </c>
      <c r="B185" s="3" t="s">
        <v>214</v>
      </c>
      <c r="C185" s="3">
        <v>2023</v>
      </c>
      <c r="D185" s="3" t="s">
        <v>834</v>
      </c>
      <c r="E185" s="3">
        <v>1230</v>
      </c>
      <c r="F185" s="3">
        <v>35</v>
      </c>
      <c r="G185" s="3">
        <v>40</v>
      </c>
      <c r="H185" s="3">
        <v>381.3</v>
      </c>
      <c r="I185" s="3">
        <v>15</v>
      </c>
      <c r="J185" s="3">
        <v>22</v>
      </c>
    </row>
    <row r="186" spans="1:10" x14ac:dyDescent="0.45">
      <c r="A186" s="20" t="s">
        <v>213</v>
      </c>
      <c r="B186" s="20" t="s">
        <v>214</v>
      </c>
      <c r="C186" s="20">
        <v>2023</v>
      </c>
      <c r="D186" s="20" t="s">
        <v>831</v>
      </c>
      <c r="E186" s="20">
        <v>492</v>
      </c>
      <c r="F186" s="20">
        <v>5</v>
      </c>
      <c r="G186" s="20">
        <v>60</v>
      </c>
      <c r="H186" s="20">
        <v>152.5</v>
      </c>
      <c r="I186" s="20">
        <v>9</v>
      </c>
      <c r="J186" s="20">
        <v>8.5</v>
      </c>
    </row>
    <row r="187" spans="1:10" x14ac:dyDescent="0.45">
      <c r="A187" s="3" t="s">
        <v>213</v>
      </c>
      <c r="B187" s="3" t="s">
        <v>214</v>
      </c>
      <c r="C187" s="3">
        <v>2024</v>
      </c>
      <c r="D187" s="3" t="s">
        <v>439</v>
      </c>
      <c r="E187" s="3">
        <v>637</v>
      </c>
      <c r="F187" s="3">
        <v>20</v>
      </c>
      <c r="G187" s="3">
        <v>30.5</v>
      </c>
      <c r="H187" s="3">
        <v>197.5</v>
      </c>
      <c r="I187" s="3">
        <v>17.399999999999999</v>
      </c>
      <c r="J187" s="3">
        <v>30.4</v>
      </c>
    </row>
    <row r="188" spans="1:10" x14ac:dyDescent="0.45">
      <c r="A188" s="20" t="s">
        <v>213</v>
      </c>
      <c r="B188" s="20" t="s">
        <v>214</v>
      </c>
      <c r="C188" s="20">
        <v>2024</v>
      </c>
      <c r="D188" s="20" t="s">
        <v>433</v>
      </c>
      <c r="E188" s="20">
        <v>819</v>
      </c>
      <c r="F188" s="20">
        <v>28</v>
      </c>
      <c r="G188" s="20">
        <v>53.3</v>
      </c>
      <c r="H188" s="20">
        <v>253.9</v>
      </c>
      <c r="I188" s="20">
        <v>20.5</v>
      </c>
      <c r="J188" s="20">
        <v>19.100000000000001</v>
      </c>
    </row>
    <row r="189" spans="1:10" x14ac:dyDescent="0.45">
      <c r="A189" s="3" t="s">
        <v>213</v>
      </c>
      <c r="B189" s="3" t="s">
        <v>214</v>
      </c>
      <c r="C189" s="3">
        <v>2024</v>
      </c>
      <c r="D189" s="3" t="s">
        <v>419</v>
      </c>
      <c r="E189" s="3">
        <v>91</v>
      </c>
      <c r="F189" s="3">
        <v>8</v>
      </c>
      <c r="G189" s="3">
        <v>26.7</v>
      </c>
      <c r="H189" s="3">
        <v>28.2</v>
      </c>
      <c r="I189" s="3">
        <v>12.7</v>
      </c>
      <c r="J189" s="3">
        <v>11.1</v>
      </c>
    </row>
    <row r="190" spans="1:10" x14ac:dyDescent="0.45">
      <c r="A190" s="20" t="s">
        <v>213</v>
      </c>
      <c r="B190" s="20" t="s">
        <v>214</v>
      </c>
      <c r="C190" s="20">
        <v>2024</v>
      </c>
      <c r="D190" s="20" t="s">
        <v>834</v>
      </c>
      <c r="E190" s="20">
        <v>1365</v>
      </c>
      <c r="F190" s="20">
        <v>35</v>
      </c>
      <c r="G190" s="20">
        <v>40</v>
      </c>
      <c r="H190" s="20">
        <v>423.1</v>
      </c>
      <c r="I190" s="20">
        <v>15</v>
      </c>
      <c r="J190" s="20">
        <v>22</v>
      </c>
    </row>
    <row r="191" spans="1:10" x14ac:dyDescent="0.45">
      <c r="A191" s="3" t="s">
        <v>213</v>
      </c>
      <c r="B191" s="3" t="s">
        <v>214</v>
      </c>
      <c r="C191" s="3">
        <v>2024</v>
      </c>
      <c r="D191" s="3" t="s">
        <v>831</v>
      </c>
      <c r="E191" s="3">
        <v>546</v>
      </c>
      <c r="F191" s="3">
        <v>5</v>
      </c>
      <c r="G191" s="3">
        <v>60</v>
      </c>
      <c r="H191" s="3">
        <v>169.3</v>
      </c>
      <c r="I191" s="3">
        <v>9</v>
      </c>
      <c r="J191" s="3">
        <v>8.5</v>
      </c>
    </row>
    <row r="192" spans="1:10" x14ac:dyDescent="0.45">
      <c r="A192" s="20" t="s">
        <v>213</v>
      </c>
      <c r="B192" s="20" t="s">
        <v>214</v>
      </c>
      <c r="C192" s="20">
        <v>2025</v>
      </c>
      <c r="D192" s="20" t="s">
        <v>439</v>
      </c>
      <c r="E192" s="20">
        <v>700</v>
      </c>
      <c r="F192" s="20">
        <v>20</v>
      </c>
      <c r="G192" s="20">
        <v>30.5</v>
      </c>
      <c r="H192" s="20">
        <v>217</v>
      </c>
      <c r="I192" s="20">
        <v>17.399999999999999</v>
      </c>
      <c r="J192" s="20">
        <v>30.4</v>
      </c>
    </row>
    <row r="193" spans="1:10" x14ac:dyDescent="0.45">
      <c r="A193" s="3" t="s">
        <v>213</v>
      </c>
      <c r="B193" s="3" t="s">
        <v>214</v>
      </c>
      <c r="C193" s="3">
        <v>2025</v>
      </c>
      <c r="D193" s="3" t="s">
        <v>433</v>
      </c>
      <c r="E193" s="3">
        <v>900</v>
      </c>
      <c r="F193" s="3">
        <v>28</v>
      </c>
      <c r="G193" s="3">
        <v>53.3</v>
      </c>
      <c r="H193" s="3">
        <v>279</v>
      </c>
      <c r="I193" s="3">
        <v>20.5</v>
      </c>
      <c r="J193" s="3">
        <v>19.100000000000001</v>
      </c>
    </row>
    <row r="194" spans="1:10" x14ac:dyDescent="0.45">
      <c r="A194" s="20" t="s">
        <v>213</v>
      </c>
      <c r="B194" s="20" t="s">
        <v>214</v>
      </c>
      <c r="C194" s="20">
        <v>2025</v>
      </c>
      <c r="D194" s="20" t="s">
        <v>419</v>
      </c>
      <c r="E194" s="20">
        <v>100</v>
      </c>
      <c r="F194" s="20">
        <v>8</v>
      </c>
      <c r="G194" s="20">
        <v>26.7</v>
      </c>
      <c r="H194" s="20">
        <v>31</v>
      </c>
      <c r="I194" s="20">
        <v>12.7</v>
      </c>
      <c r="J194" s="20">
        <v>11.1</v>
      </c>
    </row>
    <row r="195" spans="1:10" x14ac:dyDescent="0.45">
      <c r="A195" s="3" t="s">
        <v>213</v>
      </c>
      <c r="B195" s="3" t="s">
        <v>214</v>
      </c>
      <c r="C195" s="3">
        <v>2025</v>
      </c>
      <c r="D195" s="3" t="s">
        <v>834</v>
      </c>
      <c r="E195" s="3">
        <v>1500</v>
      </c>
      <c r="F195" s="3">
        <v>35</v>
      </c>
      <c r="G195" s="3">
        <v>40</v>
      </c>
      <c r="H195" s="3">
        <v>465</v>
      </c>
      <c r="I195" s="3">
        <v>15</v>
      </c>
      <c r="J195" s="3">
        <v>22</v>
      </c>
    </row>
    <row r="196" spans="1:10" x14ac:dyDescent="0.45">
      <c r="A196" s="20" t="s">
        <v>213</v>
      </c>
      <c r="B196" s="20" t="s">
        <v>214</v>
      </c>
      <c r="C196" s="20">
        <v>2025</v>
      </c>
      <c r="D196" s="20" t="s">
        <v>831</v>
      </c>
      <c r="E196" s="20">
        <v>600</v>
      </c>
      <c r="F196" s="20">
        <v>5</v>
      </c>
      <c r="G196" s="20">
        <v>60</v>
      </c>
      <c r="H196" s="20">
        <v>186</v>
      </c>
      <c r="I196" s="20">
        <v>9</v>
      </c>
      <c r="J196" s="20">
        <v>8.5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5"/>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16" customWidth="1"/>
    <col min="4" max="4" width="30" customWidth="1"/>
    <col min="5" max="5" width="12" customWidth="1"/>
    <col min="6" max="6" width="10" customWidth="1"/>
    <col min="7" max="8" width="12" customWidth="1"/>
    <col min="9" max="9" width="10" customWidth="1"/>
  </cols>
  <sheetData>
    <row r="1" spans="1:9" ht="23.25" customHeight="1" x14ac:dyDescent="0.45">
      <c r="A1" s="15" t="s">
        <v>131</v>
      </c>
      <c r="B1" s="15" t="s">
        <v>132</v>
      </c>
      <c r="C1" s="15" t="s">
        <v>835</v>
      </c>
      <c r="D1" s="15" t="s">
        <v>406</v>
      </c>
      <c r="E1" s="15" t="s">
        <v>408</v>
      </c>
      <c r="F1" s="15" t="s">
        <v>836</v>
      </c>
      <c r="G1" s="15" t="s">
        <v>837</v>
      </c>
      <c r="H1" s="15" t="s">
        <v>411</v>
      </c>
      <c r="I1" s="15" t="s">
        <v>416</v>
      </c>
    </row>
    <row r="2" spans="1:9" ht="15" customHeight="1" x14ac:dyDescent="0.45">
      <c r="A2" s="16" t="s">
        <v>142</v>
      </c>
      <c r="B2" s="16" t="s">
        <v>143</v>
      </c>
      <c r="C2" s="16" t="s">
        <v>838</v>
      </c>
      <c r="D2" s="17" t="s">
        <v>839</v>
      </c>
      <c r="E2" s="21">
        <v>1200</v>
      </c>
      <c r="F2" s="16" t="s">
        <v>160</v>
      </c>
      <c r="G2" s="16" t="s">
        <v>840</v>
      </c>
      <c r="H2" s="16" t="s">
        <v>841</v>
      </c>
      <c r="I2" s="16" t="s">
        <v>424</v>
      </c>
    </row>
    <row r="3" spans="1:9" ht="15" customHeight="1" x14ac:dyDescent="0.45">
      <c r="A3" s="18" t="s">
        <v>142</v>
      </c>
      <c r="B3" s="18" t="s">
        <v>143</v>
      </c>
      <c r="C3" s="18" t="s">
        <v>842</v>
      </c>
      <c r="D3" s="19" t="s">
        <v>843</v>
      </c>
      <c r="E3" s="24">
        <v>800</v>
      </c>
      <c r="F3" s="18" t="s">
        <v>160</v>
      </c>
      <c r="G3" s="18" t="s">
        <v>844</v>
      </c>
      <c r="H3" s="18" t="s">
        <v>845</v>
      </c>
      <c r="I3" s="18" t="s">
        <v>424</v>
      </c>
    </row>
    <row r="4" spans="1:9" ht="15" customHeight="1" x14ac:dyDescent="0.45">
      <c r="A4" s="16" t="s">
        <v>142</v>
      </c>
      <c r="B4" s="16" t="s">
        <v>143</v>
      </c>
      <c r="C4" s="16" t="s">
        <v>846</v>
      </c>
      <c r="D4" s="17" t="s">
        <v>847</v>
      </c>
      <c r="E4" s="21">
        <v>1500</v>
      </c>
      <c r="F4" s="16" t="s">
        <v>160</v>
      </c>
      <c r="G4" s="16" t="s">
        <v>848</v>
      </c>
      <c r="H4" s="16" t="s">
        <v>849</v>
      </c>
      <c r="I4" s="16" t="s">
        <v>436</v>
      </c>
    </row>
    <row r="5" spans="1:9" ht="15" customHeight="1" x14ac:dyDescent="0.45">
      <c r="A5" s="18" t="s">
        <v>152</v>
      </c>
      <c r="B5" s="18" t="s">
        <v>153</v>
      </c>
      <c r="C5" s="18" t="s">
        <v>838</v>
      </c>
      <c r="D5" s="19" t="s">
        <v>850</v>
      </c>
      <c r="E5" s="24">
        <v>6000</v>
      </c>
      <c r="F5" s="18" t="s">
        <v>490</v>
      </c>
      <c r="G5" s="18" t="s">
        <v>851</v>
      </c>
      <c r="H5" s="18" t="s">
        <v>852</v>
      </c>
      <c r="I5" s="18" t="s">
        <v>424</v>
      </c>
    </row>
    <row r="6" spans="1:9" ht="15" customHeight="1" x14ac:dyDescent="0.45">
      <c r="A6" s="16" t="s">
        <v>152</v>
      </c>
      <c r="B6" s="16" t="s">
        <v>153</v>
      </c>
      <c r="C6" s="16" t="s">
        <v>853</v>
      </c>
      <c r="D6" s="17" t="s">
        <v>854</v>
      </c>
      <c r="E6" s="21">
        <v>900</v>
      </c>
      <c r="F6" s="16" t="s">
        <v>160</v>
      </c>
      <c r="G6" s="16" t="s">
        <v>855</v>
      </c>
      <c r="H6" s="16" t="s">
        <v>856</v>
      </c>
      <c r="I6" s="16" t="s">
        <v>424</v>
      </c>
    </row>
    <row r="7" spans="1:9" ht="15" customHeight="1" x14ac:dyDescent="0.45">
      <c r="A7" s="18" t="s">
        <v>152</v>
      </c>
      <c r="B7" s="18" t="s">
        <v>153</v>
      </c>
      <c r="C7" s="18" t="s">
        <v>857</v>
      </c>
      <c r="D7" s="19" t="s">
        <v>858</v>
      </c>
      <c r="E7" s="24">
        <v>2000</v>
      </c>
      <c r="F7" s="18" t="s">
        <v>160</v>
      </c>
      <c r="G7" s="18" t="s">
        <v>859</v>
      </c>
      <c r="H7" s="18" t="s">
        <v>860</v>
      </c>
      <c r="I7" s="18" t="s">
        <v>424</v>
      </c>
    </row>
    <row r="8" spans="1:9" ht="15" customHeight="1" x14ac:dyDescent="0.45">
      <c r="A8" s="16" t="s">
        <v>161</v>
      </c>
      <c r="B8" s="16" t="s">
        <v>162</v>
      </c>
      <c r="C8" s="16" t="s">
        <v>838</v>
      </c>
      <c r="D8" s="17" t="s">
        <v>861</v>
      </c>
      <c r="E8" s="21">
        <v>3000</v>
      </c>
      <c r="F8" s="16" t="s">
        <v>160</v>
      </c>
      <c r="G8" s="16" t="s">
        <v>862</v>
      </c>
      <c r="H8" s="16" t="s">
        <v>863</v>
      </c>
      <c r="I8" s="16" t="s">
        <v>436</v>
      </c>
    </row>
    <row r="9" spans="1:9" ht="15" customHeight="1" x14ac:dyDescent="0.45">
      <c r="A9" s="18" t="s">
        <v>161</v>
      </c>
      <c r="B9" s="18" t="s">
        <v>162</v>
      </c>
      <c r="C9" s="18" t="s">
        <v>842</v>
      </c>
      <c r="D9" s="19" t="s">
        <v>864</v>
      </c>
      <c r="E9" s="24">
        <v>4500</v>
      </c>
      <c r="F9" s="18" t="s">
        <v>160</v>
      </c>
      <c r="G9" s="18" t="s">
        <v>855</v>
      </c>
      <c r="H9" s="18" t="s">
        <v>865</v>
      </c>
      <c r="I9" s="18" t="s">
        <v>424</v>
      </c>
    </row>
    <row r="10" spans="1:9" ht="15" customHeight="1" x14ac:dyDescent="0.45">
      <c r="A10" s="16" t="s">
        <v>166</v>
      </c>
      <c r="B10" s="16" t="s">
        <v>167</v>
      </c>
      <c r="C10" s="16" t="s">
        <v>853</v>
      </c>
      <c r="D10" s="17" t="s">
        <v>866</v>
      </c>
      <c r="E10" s="21">
        <v>9000</v>
      </c>
      <c r="F10" s="16" t="s">
        <v>160</v>
      </c>
      <c r="G10" s="16" t="s">
        <v>867</v>
      </c>
      <c r="H10" s="16" t="s">
        <v>868</v>
      </c>
      <c r="I10" s="16" t="s">
        <v>424</v>
      </c>
    </row>
    <row r="11" spans="1:9" ht="15" customHeight="1" x14ac:dyDescent="0.45">
      <c r="A11" s="18" t="s">
        <v>166</v>
      </c>
      <c r="B11" s="18" t="s">
        <v>167</v>
      </c>
      <c r="C11" s="18" t="s">
        <v>838</v>
      </c>
      <c r="D11" s="19" t="s">
        <v>869</v>
      </c>
      <c r="E11" s="24">
        <v>1500</v>
      </c>
      <c r="F11" s="18" t="s">
        <v>490</v>
      </c>
      <c r="G11" s="18" t="s">
        <v>870</v>
      </c>
      <c r="H11" s="18" t="s">
        <v>871</v>
      </c>
      <c r="I11" s="18" t="s">
        <v>424</v>
      </c>
    </row>
    <row r="12" spans="1:9" ht="15" customHeight="1" x14ac:dyDescent="0.45">
      <c r="A12" s="16" t="s">
        <v>171</v>
      </c>
      <c r="B12" s="16" t="s">
        <v>172</v>
      </c>
      <c r="C12" s="16" t="s">
        <v>838</v>
      </c>
      <c r="D12" s="17" t="s">
        <v>872</v>
      </c>
      <c r="E12" s="21">
        <v>400</v>
      </c>
      <c r="F12" s="16" t="s">
        <v>178</v>
      </c>
      <c r="G12" s="16" t="s">
        <v>873</v>
      </c>
      <c r="H12" s="16" t="s">
        <v>874</v>
      </c>
      <c r="I12" s="16" t="s">
        <v>424</v>
      </c>
    </row>
    <row r="13" spans="1:9" ht="15" customHeight="1" x14ac:dyDescent="0.45">
      <c r="A13" s="18" t="s">
        <v>171</v>
      </c>
      <c r="B13" s="18" t="s">
        <v>172</v>
      </c>
      <c r="C13" s="18" t="s">
        <v>857</v>
      </c>
      <c r="D13" s="19" t="s">
        <v>875</v>
      </c>
      <c r="E13" s="24">
        <v>600</v>
      </c>
      <c r="F13" s="18" t="s">
        <v>160</v>
      </c>
      <c r="G13" s="18" t="s">
        <v>876</v>
      </c>
      <c r="H13" s="18" t="s">
        <v>877</v>
      </c>
      <c r="I13" s="18" t="s">
        <v>424</v>
      </c>
    </row>
    <row r="14" spans="1:9" ht="15" customHeight="1" x14ac:dyDescent="0.45">
      <c r="A14" s="16" t="s">
        <v>179</v>
      </c>
      <c r="B14" s="16" t="s">
        <v>180</v>
      </c>
      <c r="C14" s="16" t="s">
        <v>842</v>
      </c>
      <c r="D14" s="17" t="s">
        <v>878</v>
      </c>
      <c r="E14" s="21">
        <v>700</v>
      </c>
      <c r="F14" s="16" t="s">
        <v>160</v>
      </c>
      <c r="G14" s="16" t="s">
        <v>879</v>
      </c>
      <c r="H14" s="16" t="s">
        <v>880</v>
      </c>
      <c r="I14" s="16" t="s">
        <v>424</v>
      </c>
    </row>
    <row r="15" spans="1:9" ht="15" customHeight="1" x14ac:dyDescent="0.45">
      <c r="A15" s="18" t="s">
        <v>179</v>
      </c>
      <c r="B15" s="18" t="s">
        <v>180</v>
      </c>
      <c r="C15" s="18" t="s">
        <v>838</v>
      </c>
      <c r="D15" s="19" t="s">
        <v>839</v>
      </c>
      <c r="E15" s="24">
        <v>1100</v>
      </c>
      <c r="F15" s="18" t="s">
        <v>160</v>
      </c>
      <c r="G15" s="18" t="s">
        <v>881</v>
      </c>
      <c r="H15" s="18" t="s">
        <v>882</v>
      </c>
      <c r="I15" s="18" t="s">
        <v>424</v>
      </c>
    </row>
    <row r="16" spans="1:9" ht="15" customHeight="1" x14ac:dyDescent="0.45">
      <c r="A16" s="16" t="s">
        <v>184</v>
      </c>
      <c r="B16" s="16" t="s">
        <v>185</v>
      </c>
      <c r="C16" s="16" t="s">
        <v>838</v>
      </c>
      <c r="D16" s="17" t="s">
        <v>883</v>
      </c>
      <c r="E16" s="21">
        <v>850</v>
      </c>
      <c r="F16" s="16" t="s">
        <v>160</v>
      </c>
      <c r="G16" s="16" t="s">
        <v>884</v>
      </c>
      <c r="H16" s="16" t="s">
        <v>885</v>
      </c>
      <c r="I16" s="16" t="s">
        <v>424</v>
      </c>
    </row>
    <row r="17" spans="1:9" ht="15" customHeight="1" x14ac:dyDescent="0.45">
      <c r="A17" s="18" t="s">
        <v>190</v>
      </c>
      <c r="B17" s="18" t="s">
        <v>191</v>
      </c>
      <c r="C17" s="18" t="s">
        <v>838</v>
      </c>
      <c r="D17" s="19" t="s">
        <v>886</v>
      </c>
      <c r="E17" s="24">
        <v>1300</v>
      </c>
      <c r="F17" s="18" t="s">
        <v>490</v>
      </c>
      <c r="G17" s="18" t="s">
        <v>887</v>
      </c>
      <c r="H17" s="18" t="s">
        <v>888</v>
      </c>
      <c r="I17" s="18" t="s">
        <v>424</v>
      </c>
    </row>
    <row r="18" spans="1:9" ht="15" customHeight="1" x14ac:dyDescent="0.45">
      <c r="A18" s="16" t="s">
        <v>190</v>
      </c>
      <c r="B18" s="16" t="s">
        <v>191</v>
      </c>
      <c r="C18" s="16" t="s">
        <v>838</v>
      </c>
      <c r="D18" s="17" t="s">
        <v>889</v>
      </c>
      <c r="E18" s="21">
        <v>2200</v>
      </c>
      <c r="F18" s="16" t="s">
        <v>490</v>
      </c>
      <c r="G18" s="16" t="s">
        <v>890</v>
      </c>
      <c r="H18" s="16" t="s">
        <v>891</v>
      </c>
      <c r="I18" s="16" t="s">
        <v>424</v>
      </c>
    </row>
    <row r="19" spans="1:9" ht="15" customHeight="1" x14ac:dyDescent="0.45">
      <c r="A19" s="18" t="s">
        <v>190</v>
      </c>
      <c r="B19" s="18" t="s">
        <v>191</v>
      </c>
      <c r="C19" s="18" t="s">
        <v>846</v>
      </c>
      <c r="D19" s="19" t="s">
        <v>892</v>
      </c>
      <c r="E19" s="24">
        <v>1000</v>
      </c>
      <c r="F19" s="18" t="s">
        <v>490</v>
      </c>
      <c r="G19" s="18" t="s">
        <v>893</v>
      </c>
      <c r="H19" s="18" t="s">
        <v>894</v>
      </c>
      <c r="I19" s="18" t="s">
        <v>424</v>
      </c>
    </row>
    <row r="20" spans="1:9" ht="25.5" x14ac:dyDescent="0.45">
      <c r="A20" s="20" t="s">
        <v>197</v>
      </c>
      <c r="B20" s="20" t="s">
        <v>198</v>
      </c>
      <c r="C20" s="20" t="s">
        <v>846</v>
      </c>
      <c r="D20" s="20" t="s">
        <v>895</v>
      </c>
      <c r="E20" s="20">
        <v>3000</v>
      </c>
      <c r="F20" s="20" t="s">
        <v>160</v>
      </c>
      <c r="G20" s="20" t="s">
        <v>896</v>
      </c>
      <c r="H20" s="20" t="s">
        <v>897</v>
      </c>
      <c r="I20" s="20" t="s">
        <v>436</v>
      </c>
    </row>
    <row r="21" spans="1:9" ht="25.5" x14ac:dyDescent="0.45">
      <c r="A21" s="3" t="s">
        <v>197</v>
      </c>
      <c r="B21" s="3" t="s">
        <v>198</v>
      </c>
      <c r="C21" s="3" t="s">
        <v>846</v>
      </c>
      <c r="D21" s="3" t="s">
        <v>898</v>
      </c>
      <c r="E21" s="3">
        <v>2500</v>
      </c>
      <c r="F21" s="3" t="s">
        <v>490</v>
      </c>
      <c r="G21" s="3" t="s">
        <v>899</v>
      </c>
      <c r="H21" s="3" t="s">
        <v>900</v>
      </c>
      <c r="I21" s="3" t="s">
        <v>424</v>
      </c>
    </row>
    <row r="22" spans="1:9" x14ac:dyDescent="0.45">
      <c r="A22" s="20" t="s">
        <v>197</v>
      </c>
      <c r="B22" s="20" t="s">
        <v>198</v>
      </c>
      <c r="C22" s="20" t="s">
        <v>842</v>
      </c>
      <c r="D22" s="20" t="s">
        <v>843</v>
      </c>
      <c r="E22" s="20">
        <v>1500</v>
      </c>
      <c r="F22" s="20" t="s">
        <v>160</v>
      </c>
      <c r="G22" s="20" t="s">
        <v>901</v>
      </c>
      <c r="H22" s="20" t="s">
        <v>902</v>
      </c>
      <c r="I22" s="20" t="s">
        <v>424</v>
      </c>
    </row>
    <row r="23" spans="1:9" x14ac:dyDescent="0.45">
      <c r="A23" s="3" t="s">
        <v>197</v>
      </c>
      <c r="B23" s="3" t="s">
        <v>198</v>
      </c>
      <c r="C23" s="3" t="s">
        <v>838</v>
      </c>
      <c r="D23" s="3" t="s">
        <v>903</v>
      </c>
      <c r="E23" s="3">
        <v>4000</v>
      </c>
      <c r="F23" s="3" t="s">
        <v>160</v>
      </c>
      <c r="G23" s="3" t="s">
        <v>904</v>
      </c>
      <c r="H23" s="3" t="s">
        <v>905</v>
      </c>
      <c r="I23" s="3" t="s">
        <v>424</v>
      </c>
    </row>
    <row r="24" spans="1:9" x14ac:dyDescent="0.45">
      <c r="A24" s="20" t="s">
        <v>204</v>
      </c>
      <c r="B24" s="20" t="s">
        <v>153</v>
      </c>
      <c r="C24" s="20" t="s">
        <v>838</v>
      </c>
      <c r="D24" s="20" t="s">
        <v>906</v>
      </c>
      <c r="E24" s="20">
        <v>6000</v>
      </c>
      <c r="F24" s="20" t="s">
        <v>490</v>
      </c>
      <c r="G24" s="20" t="s">
        <v>907</v>
      </c>
      <c r="H24" s="20" t="s">
        <v>841</v>
      </c>
      <c r="I24" s="20" t="s">
        <v>424</v>
      </c>
    </row>
    <row r="25" spans="1:9" x14ac:dyDescent="0.45">
      <c r="A25" s="3" t="s">
        <v>204</v>
      </c>
      <c r="B25" s="3" t="s">
        <v>153</v>
      </c>
      <c r="C25" s="3" t="s">
        <v>838</v>
      </c>
      <c r="D25" s="3" t="s">
        <v>908</v>
      </c>
      <c r="E25" s="3">
        <v>1000</v>
      </c>
      <c r="F25" s="3" t="s">
        <v>490</v>
      </c>
      <c r="G25" s="3" t="s">
        <v>453</v>
      </c>
      <c r="H25" s="3" t="s">
        <v>909</v>
      </c>
      <c r="I25" s="3" t="s">
        <v>424</v>
      </c>
    </row>
    <row r="26" spans="1:9" x14ac:dyDescent="0.45">
      <c r="A26" s="20" t="s">
        <v>204</v>
      </c>
      <c r="B26" s="20" t="s">
        <v>153</v>
      </c>
      <c r="C26" s="20" t="s">
        <v>857</v>
      </c>
      <c r="D26" s="20" t="s">
        <v>910</v>
      </c>
      <c r="E26" s="20">
        <v>1500</v>
      </c>
      <c r="F26" s="20" t="s">
        <v>160</v>
      </c>
      <c r="G26" s="20" t="s">
        <v>911</v>
      </c>
      <c r="H26" s="20" t="s">
        <v>912</v>
      </c>
      <c r="I26" s="20" t="s">
        <v>424</v>
      </c>
    </row>
    <row r="27" spans="1:9" x14ac:dyDescent="0.45">
      <c r="A27" s="3" t="s">
        <v>205</v>
      </c>
      <c r="B27" s="3" t="s">
        <v>206</v>
      </c>
      <c r="C27" s="3" t="s">
        <v>842</v>
      </c>
      <c r="D27" s="3" t="s">
        <v>913</v>
      </c>
      <c r="E27" s="3">
        <v>5497</v>
      </c>
      <c r="F27" s="3" t="s">
        <v>160</v>
      </c>
      <c r="G27" s="3" t="s">
        <v>914</v>
      </c>
      <c r="H27" s="3" t="s">
        <v>915</v>
      </c>
      <c r="I27" s="3" t="s">
        <v>424</v>
      </c>
    </row>
    <row r="28" spans="1:9" x14ac:dyDescent="0.45">
      <c r="A28" s="20" t="s">
        <v>205</v>
      </c>
      <c r="B28" s="20" t="s">
        <v>206</v>
      </c>
      <c r="C28" s="20" t="s">
        <v>838</v>
      </c>
      <c r="D28" s="20" t="s">
        <v>916</v>
      </c>
      <c r="E28" s="20">
        <v>3000</v>
      </c>
      <c r="F28" s="20" t="s">
        <v>160</v>
      </c>
      <c r="G28" s="20" t="s">
        <v>917</v>
      </c>
      <c r="H28" s="20" t="s">
        <v>918</v>
      </c>
      <c r="I28" s="20" t="s">
        <v>424</v>
      </c>
    </row>
    <row r="29" spans="1:9" x14ac:dyDescent="0.45">
      <c r="A29" s="3" t="s">
        <v>205</v>
      </c>
      <c r="B29" s="3" t="s">
        <v>206</v>
      </c>
      <c r="C29" s="3" t="s">
        <v>838</v>
      </c>
      <c r="D29" s="3" t="s">
        <v>919</v>
      </c>
      <c r="E29" s="3">
        <v>600</v>
      </c>
      <c r="F29" s="3" t="s">
        <v>160</v>
      </c>
      <c r="G29" s="3" t="s">
        <v>561</v>
      </c>
      <c r="H29" s="3" t="s">
        <v>658</v>
      </c>
      <c r="I29" s="3" t="s">
        <v>424</v>
      </c>
    </row>
    <row r="30" spans="1:9" x14ac:dyDescent="0.45">
      <c r="A30" s="20" t="s">
        <v>209</v>
      </c>
      <c r="B30" s="20" t="s">
        <v>210</v>
      </c>
      <c r="C30" s="20" t="s">
        <v>838</v>
      </c>
      <c r="D30" s="20" t="s">
        <v>920</v>
      </c>
      <c r="E30" s="20">
        <v>2200</v>
      </c>
      <c r="F30" s="20" t="s">
        <v>490</v>
      </c>
      <c r="G30" s="20" t="s">
        <v>921</v>
      </c>
      <c r="H30" s="20" t="s">
        <v>658</v>
      </c>
      <c r="I30" s="20" t="s">
        <v>424</v>
      </c>
    </row>
    <row r="31" spans="1:9" x14ac:dyDescent="0.45">
      <c r="A31" s="3" t="s">
        <v>209</v>
      </c>
      <c r="B31" s="3" t="s">
        <v>210</v>
      </c>
      <c r="C31" s="3" t="s">
        <v>838</v>
      </c>
      <c r="D31" s="3" t="s">
        <v>922</v>
      </c>
      <c r="E31" s="3">
        <v>1200</v>
      </c>
      <c r="F31" s="3" t="s">
        <v>490</v>
      </c>
      <c r="G31" s="3" t="s">
        <v>923</v>
      </c>
      <c r="H31" s="3" t="s">
        <v>684</v>
      </c>
      <c r="I31" s="3" t="s">
        <v>424</v>
      </c>
    </row>
    <row r="32" spans="1:9" x14ac:dyDescent="0.45">
      <c r="A32" s="20" t="s">
        <v>209</v>
      </c>
      <c r="B32" s="20" t="s">
        <v>210</v>
      </c>
      <c r="C32" s="20" t="s">
        <v>857</v>
      </c>
      <c r="D32" s="20" t="s">
        <v>910</v>
      </c>
      <c r="E32" s="20">
        <v>2000</v>
      </c>
      <c r="F32" s="20" t="s">
        <v>160</v>
      </c>
      <c r="G32" s="20" t="s">
        <v>924</v>
      </c>
      <c r="H32" s="20" t="s">
        <v>925</v>
      </c>
      <c r="I32" s="20" t="s">
        <v>424</v>
      </c>
    </row>
    <row r="33" spans="1:9" ht="25.5" x14ac:dyDescent="0.45">
      <c r="A33" s="3" t="s">
        <v>213</v>
      </c>
      <c r="B33" s="3" t="s">
        <v>214</v>
      </c>
      <c r="C33" s="3" t="s">
        <v>846</v>
      </c>
      <c r="D33" s="3" t="s">
        <v>926</v>
      </c>
      <c r="E33" s="3">
        <v>5000</v>
      </c>
      <c r="F33" s="3" t="s">
        <v>490</v>
      </c>
      <c r="G33" s="3" t="s">
        <v>927</v>
      </c>
      <c r="H33" s="3" t="s">
        <v>928</v>
      </c>
      <c r="I33" s="3" t="s">
        <v>424</v>
      </c>
    </row>
    <row r="34" spans="1:9" x14ac:dyDescent="0.45">
      <c r="A34" s="20" t="s">
        <v>213</v>
      </c>
      <c r="B34" s="20" t="s">
        <v>214</v>
      </c>
      <c r="C34" s="20" t="s">
        <v>857</v>
      </c>
      <c r="D34" s="20" t="s">
        <v>929</v>
      </c>
      <c r="E34" s="20">
        <v>3000</v>
      </c>
      <c r="F34" s="20" t="s">
        <v>490</v>
      </c>
      <c r="G34" s="20" t="s">
        <v>930</v>
      </c>
      <c r="H34" s="20" t="s">
        <v>931</v>
      </c>
      <c r="I34" s="20" t="s">
        <v>424</v>
      </c>
    </row>
    <row r="35" spans="1:9" x14ac:dyDescent="0.45">
      <c r="A35" s="3" t="s">
        <v>213</v>
      </c>
      <c r="B35" s="3" t="s">
        <v>214</v>
      </c>
      <c r="C35" s="3" t="s">
        <v>838</v>
      </c>
      <c r="D35" s="3" t="s">
        <v>932</v>
      </c>
      <c r="E35" s="3">
        <v>2000</v>
      </c>
      <c r="F35" s="3" t="s">
        <v>490</v>
      </c>
      <c r="G35" s="3" t="s">
        <v>933</v>
      </c>
      <c r="H35" s="3" t="s">
        <v>934</v>
      </c>
      <c r="I35" s="3" t="s">
        <v>424</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2"/>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3" customWidth="1"/>
    <col min="2" max="2" width="10" customWidth="1"/>
    <col min="3" max="3" width="24" customWidth="1"/>
    <col min="4" max="4" width="26" customWidth="1"/>
    <col min="5" max="5" width="13" customWidth="1"/>
    <col min="6" max="6" width="17" customWidth="1"/>
    <col min="7" max="7" width="15" customWidth="1"/>
    <col min="8" max="9" width="12" customWidth="1"/>
    <col min="10" max="10" width="9" customWidth="1"/>
    <col min="11" max="11" width="18" customWidth="1"/>
  </cols>
  <sheetData>
    <row r="1" spans="1:11" ht="23.25" customHeight="1" x14ac:dyDescent="0.45">
      <c r="A1" s="15" t="s">
        <v>935</v>
      </c>
      <c r="B1" s="15" t="s">
        <v>131</v>
      </c>
      <c r="C1" s="15" t="s">
        <v>132</v>
      </c>
      <c r="D1" s="15" t="s">
        <v>406</v>
      </c>
      <c r="E1" s="15" t="s">
        <v>936</v>
      </c>
      <c r="F1" s="15" t="s">
        <v>937</v>
      </c>
      <c r="G1" s="15" t="s">
        <v>938</v>
      </c>
      <c r="H1" s="15" t="s">
        <v>939</v>
      </c>
      <c r="I1" s="15" t="s">
        <v>940</v>
      </c>
      <c r="J1" s="15" t="s">
        <v>416</v>
      </c>
      <c r="K1" s="15" t="s">
        <v>294</v>
      </c>
    </row>
    <row r="2" spans="1:11" ht="23.25" customHeight="1" x14ac:dyDescent="0.45">
      <c r="A2" s="16" t="s">
        <v>941</v>
      </c>
      <c r="B2" s="16" t="s">
        <v>152</v>
      </c>
      <c r="C2" s="16" t="s">
        <v>153</v>
      </c>
      <c r="D2" s="17" t="s">
        <v>942</v>
      </c>
      <c r="E2" s="16" t="s">
        <v>943</v>
      </c>
      <c r="F2" s="21">
        <v>850</v>
      </c>
      <c r="G2" s="29">
        <v>60</v>
      </c>
      <c r="H2" s="16" t="s">
        <v>592</v>
      </c>
      <c r="I2" s="16" t="s">
        <v>944</v>
      </c>
      <c r="J2" s="16" t="s">
        <v>945</v>
      </c>
      <c r="K2" s="16" t="s">
        <v>268</v>
      </c>
    </row>
    <row r="3" spans="1:11" ht="15" customHeight="1" x14ac:dyDescent="0.45">
      <c r="A3" s="18" t="s">
        <v>946</v>
      </c>
      <c r="B3" s="18" t="s">
        <v>152</v>
      </c>
      <c r="C3" s="18" t="s">
        <v>153</v>
      </c>
      <c r="D3" s="19" t="s">
        <v>947</v>
      </c>
      <c r="E3" s="18" t="s">
        <v>948</v>
      </c>
      <c r="F3" s="24">
        <v>420</v>
      </c>
      <c r="G3" s="30">
        <v>40</v>
      </c>
      <c r="H3" s="18" t="s">
        <v>949</v>
      </c>
      <c r="I3" s="18" t="s">
        <v>253</v>
      </c>
      <c r="J3" s="18" t="s">
        <v>945</v>
      </c>
      <c r="K3" s="18" t="s">
        <v>268</v>
      </c>
    </row>
    <row r="4" spans="1:11" ht="15" customHeight="1" x14ac:dyDescent="0.45">
      <c r="A4" s="16" t="s">
        <v>950</v>
      </c>
      <c r="B4" s="16" t="s">
        <v>161</v>
      </c>
      <c r="C4" s="16" t="s">
        <v>162</v>
      </c>
      <c r="D4" s="17" t="s">
        <v>951</v>
      </c>
      <c r="E4" s="16" t="s">
        <v>943</v>
      </c>
      <c r="F4" s="21">
        <v>700</v>
      </c>
      <c r="G4" s="29">
        <v>55</v>
      </c>
      <c r="H4" s="16" t="s">
        <v>632</v>
      </c>
      <c r="I4" s="16" t="s">
        <v>779</v>
      </c>
      <c r="J4" s="16" t="s">
        <v>945</v>
      </c>
      <c r="K4" s="16" t="s">
        <v>268</v>
      </c>
    </row>
    <row r="5" spans="1:11" ht="15" customHeight="1" x14ac:dyDescent="0.45">
      <c r="A5" s="18" t="s">
        <v>952</v>
      </c>
      <c r="B5" s="18" t="s">
        <v>142</v>
      </c>
      <c r="C5" s="18" t="s">
        <v>143</v>
      </c>
      <c r="D5" s="19" t="s">
        <v>953</v>
      </c>
      <c r="E5" s="18" t="s">
        <v>954</v>
      </c>
      <c r="F5" s="24">
        <v>1900</v>
      </c>
      <c r="G5" s="30">
        <v>35</v>
      </c>
      <c r="H5" s="18" t="s">
        <v>656</v>
      </c>
      <c r="I5" s="18" t="s">
        <v>955</v>
      </c>
      <c r="J5" s="18" t="s">
        <v>945</v>
      </c>
      <c r="K5" s="18" t="s">
        <v>263</v>
      </c>
    </row>
    <row r="6" spans="1:11" ht="15" customHeight="1" x14ac:dyDescent="0.45">
      <c r="A6" s="16" t="s">
        <v>956</v>
      </c>
      <c r="B6" s="16" t="s">
        <v>142</v>
      </c>
      <c r="C6" s="16" t="s">
        <v>143</v>
      </c>
      <c r="D6" s="17" t="s">
        <v>957</v>
      </c>
      <c r="E6" s="16" t="s">
        <v>948</v>
      </c>
      <c r="F6" s="21">
        <v>1200</v>
      </c>
      <c r="G6" s="29">
        <v>45</v>
      </c>
      <c r="H6" s="16" t="s">
        <v>958</v>
      </c>
      <c r="I6" s="16" t="s">
        <v>801</v>
      </c>
      <c r="J6" s="16" t="s">
        <v>945</v>
      </c>
      <c r="K6" s="16" t="s">
        <v>263</v>
      </c>
    </row>
    <row r="7" spans="1:11" ht="15" customHeight="1" x14ac:dyDescent="0.45">
      <c r="A7" s="18" t="s">
        <v>959</v>
      </c>
      <c r="B7" s="18" t="s">
        <v>166</v>
      </c>
      <c r="C7" s="18" t="s">
        <v>167</v>
      </c>
      <c r="D7" s="19" t="s">
        <v>960</v>
      </c>
      <c r="E7" s="18" t="s">
        <v>961</v>
      </c>
      <c r="F7" s="24">
        <v>300</v>
      </c>
      <c r="G7" s="30">
        <v>70</v>
      </c>
      <c r="H7" s="18" t="s">
        <v>962</v>
      </c>
      <c r="I7" s="18" t="s">
        <v>723</v>
      </c>
      <c r="J7" s="18" t="s">
        <v>945</v>
      </c>
      <c r="K7" s="18" t="s">
        <v>273</v>
      </c>
    </row>
    <row r="8" spans="1:11" ht="15" customHeight="1" x14ac:dyDescent="0.45">
      <c r="A8" s="16" t="s">
        <v>963</v>
      </c>
      <c r="B8" s="16" t="s">
        <v>171</v>
      </c>
      <c r="C8" s="16" t="s">
        <v>172</v>
      </c>
      <c r="D8" s="17" t="s">
        <v>964</v>
      </c>
      <c r="E8" s="16" t="s">
        <v>954</v>
      </c>
      <c r="F8" s="21">
        <v>550</v>
      </c>
      <c r="G8" s="29">
        <v>30</v>
      </c>
      <c r="H8" s="16" t="s">
        <v>965</v>
      </c>
      <c r="I8" s="16" t="s">
        <v>586</v>
      </c>
      <c r="J8" s="16" t="s">
        <v>945</v>
      </c>
      <c r="K8" s="16" t="s">
        <v>263</v>
      </c>
    </row>
    <row r="9" spans="1:11" ht="15" customHeight="1" x14ac:dyDescent="0.45">
      <c r="A9" s="18" t="s">
        <v>966</v>
      </c>
      <c r="B9" s="18" t="s">
        <v>171</v>
      </c>
      <c r="C9" s="18" t="s">
        <v>172</v>
      </c>
      <c r="D9" s="19" t="s">
        <v>967</v>
      </c>
      <c r="E9" s="18" t="s">
        <v>948</v>
      </c>
      <c r="F9" s="24">
        <v>280</v>
      </c>
      <c r="G9" s="30">
        <v>25</v>
      </c>
      <c r="H9" s="18" t="s">
        <v>968</v>
      </c>
      <c r="I9" s="18" t="s">
        <v>323</v>
      </c>
      <c r="J9" s="18" t="s">
        <v>969</v>
      </c>
      <c r="K9" s="18" t="s">
        <v>263</v>
      </c>
    </row>
    <row r="10" spans="1:11" ht="15" customHeight="1" x14ac:dyDescent="0.45">
      <c r="A10" s="16" t="s">
        <v>970</v>
      </c>
      <c r="B10" s="16" t="s">
        <v>190</v>
      </c>
      <c r="C10" s="16" t="s">
        <v>191</v>
      </c>
      <c r="D10" s="17" t="s">
        <v>971</v>
      </c>
      <c r="E10" s="16" t="s">
        <v>961</v>
      </c>
      <c r="F10" s="21">
        <v>640</v>
      </c>
      <c r="G10" s="29">
        <v>65</v>
      </c>
      <c r="H10" s="16" t="s">
        <v>972</v>
      </c>
      <c r="I10" s="16" t="s">
        <v>973</v>
      </c>
      <c r="J10" s="16" t="s">
        <v>945</v>
      </c>
      <c r="K10" s="16" t="s">
        <v>263</v>
      </c>
    </row>
    <row r="11" spans="1:11" ht="15" customHeight="1" x14ac:dyDescent="0.45">
      <c r="A11" s="18" t="s">
        <v>974</v>
      </c>
      <c r="B11" s="18" t="s">
        <v>184</v>
      </c>
      <c r="C11" s="18" t="s">
        <v>185</v>
      </c>
      <c r="D11" s="19" t="s">
        <v>975</v>
      </c>
      <c r="E11" s="18" t="s">
        <v>943</v>
      </c>
      <c r="F11" s="24">
        <v>410</v>
      </c>
      <c r="G11" s="30">
        <v>50</v>
      </c>
      <c r="H11" s="18" t="s">
        <v>965</v>
      </c>
      <c r="I11" s="18" t="s">
        <v>240</v>
      </c>
      <c r="J11" s="18" t="s">
        <v>945</v>
      </c>
      <c r="K11" s="18" t="s">
        <v>268</v>
      </c>
    </row>
    <row r="12" spans="1:11" ht="15" customHeight="1" x14ac:dyDescent="0.45">
      <c r="A12" s="16" t="s">
        <v>976</v>
      </c>
      <c r="B12" s="16" t="s">
        <v>179</v>
      </c>
      <c r="C12" s="16" t="s">
        <v>180</v>
      </c>
      <c r="D12" s="17" t="s">
        <v>977</v>
      </c>
      <c r="E12" s="16" t="s">
        <v>948</v>
      </c>
      <c r="F12" s="21">
        <v>380</v>
      </c>
      <c r="G12" s="29">
        <v>40</v>
      </c>
      <c r="H12" s="16" t="s">
        <v>445</v>
      </c>
      <c r="I12" s="16" t="s">
        <v>978</v>
      </c>
      <c r="J12" s="16" t="s">
        <v>969</v>
      </c>
      <c r="K12" s="16" t="s">
        <v>268</v>
      </c>
    </row>
    <row r="13" spans="1:11" ht="15" customHeight="1" x14ac:dyDescent="0.45">
      <c r="A13" s="18" t="s">
        <v>979</v>
      </c>
      <c r="B13" s="18" t="s">
        <v>161</v>
      </c>
      <c r="C13" s="18" t="s">
        <v>162</v>
      </c>
      <c r="D13" s="19" t="s">
        <v>980</v>
      </c>
      <c r="E13" s="18" t="s">
        <v>954</v>
      </c>
      <c r="F13" s="24">
        <v>1500</v>
      </c>
      <c r="G13" s="30">
        <v>20</v>
      </c>
      <c r="H13" s="18" t="s">
        <v>249</v>
      </c>
      <c r="I13" s="18" t="s">
        <v>955</v>
      </c>
      <c r="J13" s="18" t="s">
        <v>945</v>
      </c>
      <c r="K13" s="18" t="s">
        <v>268</v>
      </c>
    </row>
    <row r="14" spans="1:11" ht="25.5" x14ac:dyDescent="0.45">
      <c r="A14" s="20" t="s">
        <v>981</v>
      </c>
      <c r="B14" s="20" t="s">
        <v>197</v>
      </c>
      <c r="C14" s="20" t="s">
        <v>198</v>
      </c>
      <c r="D14" s="20" t="s">
        <v>982</v>
      </c>
      <c r="E14" s="20" t="s">
        <v>948</v>
      </c>
      <c r="F14" s="20">
        <v>1900</v>
      </c>
      <c r="G14" s="20">
        <v>55</v>
      </c>
      <c r="H14" s="20" t="s">
        <v>343</v>
      </c>
      <c r="I14" s="20" t="s">
        <v>323</v>
      </c>
      <c r="J14" s="20" t="s">
        <v>945</v>
      </c>
      <c r="K14" s="20" t="s">
        <v>278</v>
      </c>
    </row>
    <row r="15" spans="1:11" x14ac:dyDescent="0.45">
      <c r="A15" s="3" t="s">
        <v>983</v>
      </c>
      <c r="B15" s="3" t="s">
        <v>197</v>
      </c>
      <c r="C15" s="3" t="s">
        <v>198</v>
      </c>
      <c r="D15" s="3" t="s">
        <v>984</v>
      </c>
      <c r="E15" s="3" t="s">
        <v>985</v>
      </c>
      <c r="F15" s="3">
        <v>600</v>
      </c>
      <c r="G15" s="3">
        <v>35</v>
      </c>
      <c r="H15" s="3" t="s">
        <v>363</v>
      </c>
      <c r="I15" s="3" t="s">
        <v>323</v>
      </c>
      <c r="J15" s="3" t="s">
        <v>945</v>
      </c>
      <c r="K15" s="3" t="s">
        <v>280</v>
      </c>
    </row>
    <row r="16" spans="1:11" ht="25.5" x14ac:dyDescent="0.45">
      <c r="A16" s="20" t="s">
        <v>986</v>
      </c>
      <c r="B16" s="20" t="s">
        <v>204</v>
      </c>
      <c r="C16" s="20" t="s">
        <v>153</v>
      </c>
      <c r="D16" s="20" t="s">
        <v>942</v>
      </c>
      <c r="E16" s="20" t="s">
        <v>943</v>
      </c>
      <c r="F16" s="20">
        <v>900</v>
      </c>
      <c r="G16" s="20">
        <v>60</v>
      </c>
      <c r="H16" s="20" t="s">
        <v>592</v>
      </c>
      <c r="I16" s="20" t="s">
        <v>347</v>
      </c>
      <c r="J16" s="20" t="s">
        <v>945</v>
      </c>
      <c r="K16" s="20" t="s">
        <v>268</v>
      </c>
    </row>
    <row r="17" spans="1:11" x14ac:dyDescent="0.45">
      <c r="A17" s="3" t="s">
        <v>987</v>
      </c>
      <c r="B17" s="3" t="s">
        <v>204</v>
      </c>
      <c r="C17" s="3" t="s">
        <v>153</v>
      </c>
      <c r="D17" s="3" t="s">
        <v>947</v>
      </c>
      <c r="E17" s="3" t="s">
        <v>948</v>
      </c>
      <c r="F17" s="3">
        <v>420</v>
      </c>
      <c r="G17" s="3">
        <v>40</v>
      </c>
      <c r="H17" s="3" t="s">
        <v>949</v>
      </c>
      <c r="I17" s="3" t="s">
        <v>454</v>
      </c>
      <c r="J17" s="3" t="s">
        <v>945</v>
      </c>
      <c r="K17" s="3" t="s">
        <v>268</v>
      </c>
    </row>
    <row r="18" spans="1:11" x14ac:dyDescent="0.45">
      <c r="A18" s="20" t="s">
        <v>988</v>
      </c>
      <c r="B18" s="20" t="s">
        <v>205</v>
      </c>
      <c r="C18" s="20" t="s">
        <v>206</v>
      </c>
      <c r="D18" s="20" t="s">
        <v>951</v>
      </c>
      <c r="E18" s="20" t="s">
        <v>943</v>
      </c>
      <c r="F18" s="20">
        <v>750</v>
      </c>
      <c r="G18" s="20">
        <v>55</v>
      </c>
      <c r="H18" s="20" t="s">
        <v>313</v>
      </c>
      <c r="I18" s="20" t="s">
        <v>311</v>
      </c>
      <c r="J18" s="20" t="s">
        <v>945</v>
      </c>
      <c r="K18" s="20" t="s">
        <v>281</v>
      </c>
    </row>
    <row r="19" spans="1:11" x14ac:dyDescent="0.45">
      <c r="A19" s="3" t="s">
        <v>989</v>
      </c>
      <c r="B19" s="3" t="s">
        <v>205</v>
      </c>
      <c r="C19" s="3" t="s">
        <v>206</v>
      </c>
      <c r="D19" s="3" t="s">
        <v>990</v>
      </c>
      <c r="E19" s="3" t="s">
        <v>985</v>
      </c>
      <c r="F19" s="3">
        <v>400</v>
      </c>
      <c r="G19" s="3">
        <v>30</v>
      </c>
      <c r="H19" s="3" t="s">
        <v>331</v>
      </c>
      <c r="I19" s="3" t="s">
        <v>347</v>
      </c>
      <c r="J19" s="3" t="s">
        <v>945</v>
      </c>
      <c r="K19" s="3" t="s">
        <v>283</v>
      </c>
    </row>
    <row r="20" spans="1:11" x14ac:dyDescent="0.45">
      <c r="A20" s="20" t="s">
        <v>991</v>
      </c>
      <c r="B20" s="20" t="s">
        <v>209</v>
      </c>
      <c r="C20" s="20" t="s">
        <v>210</v>
      </c>
      <c r="D20" s="20" t="s">
        <v>385</v>
      </c>
      <c r="E20" s="20" t="s">
        <v>943</v>
      </c>
      <c r="F20" s="20">
        <v>850</v>
      </c>
      <c r="G20" s="20">
        <v>55</v>
      </c>
      <c r="H20" s="20" t="s">
        <v>383</v>
      </c>
      <c r="I20" s="20" t="s">
        <v>398</v>
      </c>
      <c r="J20" s="20" t="s">
        <v>945</v>
      </c>
      <c r="K20" s="20" t="s">
        <v>281</v>
      </c>
    </row>
    <row r="21" spans="1:11" x14ac:dyDescent="0.45">
      <c r="A21" s="3" t="s">
        <v>992</v>
      </c>
      <c r="B21" s="3" t="s">
        <v>209</v>
      </c>
      <c r="C21" s="3" t="s">
        <v>210</v>
      </c>
      <c r="D21" s="3" t="s">
        <v>993</v>
      </c>
      <c r="E21" s="3" t="s">
        <v>948</v>
      </c>
      <c r="F21" s="3">
        <v>300</v>
      </c>
      <c r="G21" s="3">
        <v>40</v>
      </c>
      <c r="H21" s="3" t="s">
        <v>303</v>
      </c>
      <c r="I21" s="3" t="s">
        <v>392</v>
      </c>
      <c r="J21" s="3" t="s">
        <v>945</v>
      </c>
      <c r="K21" s="3" t="s">
        <v>283</v>
      </c>
    </row>
    <row r="22" spans="1:11" ht="25.5" x14ac:dyDescent="0.45">
      <c r="A22" s="20" t="s">
        <v>994</v>
      </c>
      <c r="B22" s="20" t="s">
        <v>213</v>
      </c>
      <c r="C22" s="20" t="s">
        <v>214</v>
      </c>
      <c r="D22" s="20" t="s">
        <v>995</v>
      </c>
      <c r="E22" s="20" t="s">
        <v>948</v>
      </c>
      <c r="F22" s="20">
        <v>600</v>
      </c>
      <c r="G22" s="20">
        <v>30</v>
      </c>
      <c r="H22" s="20" t="s">
        <v>394</v>
      </c>
      <c r="I22" s="20" t="s">
        <v>398</v>
      </c>
      <c r="J22" s="20" t="s">
        <v>945</v>
      </c>
      <c r="K22" s="20" t="s">
        <v>281</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0"/>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10" customWidth="1"/>
    <col min="4" max="4" width="14" customWidth="1"/>
    <col min="5" max="7" width="18" customWidth="1"/>
    <col min="8" max="8" width="22" customWidth="1"/>
  </cols>
  <sheetData>
    <row r="1" spans="1:8" ht="23.25" customHeight="1" x14ac:dyDescent="0.45">
      <c r="A1" s="15" t="s">
        <v>131</v>
      </c>
      <c r="B1" s="15" t="s">
        <v>132</v>
      </c>
      <c r="C1" s="15" t="s">
        <v>996</v>
      </c>
      <c r="D1" s="15" t="s">
        <v>997</v>
      </c>
      <c r="E1" s="15" t="s">
        <v>998</v>
      </c>
      <c r="F1" s="15" t="s">
        <v>999</v>
      </c>
      <c r="G1" s="15" t="s">
        <v>1000</v>
      </c>
      <c r="H1" s="15" t="s">
        <v>1001</v>
      </c>
    </row>
    <row r="2" spans="1:8" ht="15" customHeight="1" x14ac:dyDescent="0.45">
      <c r="A2" s="16" t="s">
        <v>142</v>
      </c>
      <c r="B2" s="16" t="s">
        <v>143</v>
      </c>
      <c r="C2" s="16" t="s">
        <v>1002</v>
      </c>
      <c r="D2" s="21">
        <v>38</v>
      </c>
      <c r="E2" s="21">
        <v>5</v>
      </c>
      <c r="F2" s="21">
        <v>110</v>
      </c>
      <c r="G2" s="16" t="s">
        <v>1003</v>
      </c>
      <c r="H2" s="29">
        <v>12</v>
      </c>
    </row>
    <row r="3" spans="1:8" ht="15" customHeight="1" x14ac:dyDescent="0.45">
      <c r="A3" s="18" t="s">
        <v>142</v>
      </c>
      <c r="B3" s="18" t="s">
        <v>143</v>
      </c>
      <c r="C3" s="18" t="s">
        <v>1004</v>
      </c>
      <c r="D3" s="24">
        <v>126</v>
      </c>
      <c r="E3" s="24">
        <v>32</v>
      </c>
      <c r="F3" s="24">
        <v>267</v>
      </c>
      <c r="G3" s="18" t="s">
        <v>1005</v>
      </c>
      <c r="H3" s="30">
        <v>42</v>
      </c>
    </row>
    <row r="4" spans="1:8" ht="15" customHeight="1" x14ac:dyDescent="0.45">
      <c r="A4" s="16" t="s">
        <v>142</v>
      </c>
      <c r="B4" s="16" t="s">
        <v>143</v>
      </c>
      <c r="C4" s="16" t="s">
        <v>1006</v>
      </c>
      <c r="D4" s="21">
        <v>107</v>
      </c>
      <c r="E4" s="21">
        <v>40</v>
      </c>
      <c r="F4" s="21">
        <v>103</v>
      </c>
      <c r="G4" s="16" t="s">
        <v>1007</v>
      </c>
      <c r="H4" s="29">
        <v>36</v>
      </c>
    </row>
    <row r="5" spans="1:8" ht="15" customHeight="1" x14ac:dyDescent="0.45">
      <c r="A5" s="18" t="s">
        <v>152</v>
      </c>
      <c r="B5" s="18" t="s">
        <v>153</v>
      </c>
      <c r="C5" s="18" t="s">
        <v>1002</v>
      </c>
      <c r="D5" s="24">
        <v>101</v>
      </c>
      <c r="E5" s="24">
        <v>24</v>
      </c>
      <c r="F5" s="24">
        <v>234</v>
      </c>
      <c r="G5" s="18" t="s">
        <v>1005</v>
      </c>
      <c r="H5" s="30">
        <v>34</v>
      </c>
    </row>
    <row r="6" spans="1:8" ht="15" customHeight="1" x14ac:dyDescent="0.45">
      <c r="A6" s="16" t="s">
        <v>152</v>
      </c>
      <c r="B6" s="16" t="s">
        <v>153</v>
      </c>
      <c r="C6" s="16" t="s">
        <v>1004</v>
      </c>
      <c r="D6" s="21">
        <v>114</v>
      </c>
      <c r="E6" s="21">
        <v>34</v>
      </c>
      <c r="F6" s="21">
        <v>317</v>
      </c>
      <c r="G6" s="16" t="s">
        <v>1008</v>
      </c>
      <c r="H6" s="29">
        <v>44</v>
      </c>
    </row>
    <row r="7" spans="1:8" ht="15" customHeight="1" x14ac:dyDescent="0.45">
      <c r="A7" s="18" t="s">
        <v>152</v>
      </c>
      <c r="B7" s="18" t="s">
        <v>153</v>
      </c>
      <c r="C7" s="18" t="s">
        <v>1006</v>
      </c>
      <c r="D7" s="24">
        <v>101</v>
      </c>
      <c r="E7" s="24">
        <v>17</v>
      </c>
      <c r="F7" s="24">
        <v>268</v>
      </c>
      <c r="G7" s="18" t="s">
        <v>1008</v>
      </c>
      <c r="H7" s="30">
        <v>32</v>
      </c>
    </row>
    <row r="8" spans="1:8" ht="15" customHeight="1" x14ac:dyDescent="0.45">
      <c r="A8" s="16" t="s">
        <v>161</v>
      </c>
      <c r="B8" s="16" t="s">
        <v>162</v>
      </c>
      <c r="C8" s="16" t="s">
        <v>1002</v>
      </c>
      <c r="D8" s="21">
        <v>88</v>
      </c>
      <c r="E8" s="21">
        <v>30</v>
      </c>
      <c r="F8" s="21">
        <v>156</v>
      </c>
      <c r="G8" s="16" t="s">
        <v>1005</v>
      </c>
      <c r="H8" s="29">
        <v>32</v>
      </c>
    </row>
    <row r="9" spans="1:8" ht="15" customHeight="1" x14ac:dyDescent="0.45">
      <c r="A9" s="18" t="s">
        <v>161</v>
      </c>
      <c r="B9" s="18" t="s">
        <v>162</v>
      </c>
      <c r="C9" s="18" t="s">
        <v>1004</v>
      </c>
      <c r="D9" s="24">
        <v>44</v>
      </c>
      <c r="E9" s="24">
        <v>5</v>
      </c>
      <c r="F9" s="24">
        <v>178</v>
      </c>
      <c r="G9" s="18" t="s">
        <v>1003</v>
      </c>
      <c r="H9" s="30">
        <v>16</v>
      </c>
    </row>
    <row r="10" spans="1:8" ht="15" customHeight="1" x14ac:dyDescent="0.45">
      <c r="A10" s="16" t="s">
        <v>161</v>
      </c>
      <c r="B10" s="16" t="s">
        <v>162</v>
      </c>
      <c r="C10" s="16" t="s">
        <v>1006</v>
      </c>
      <c r="D10" s="21">
        <v>177</v>
      </c>
      <c r="E10" s="21">
        <v>28</v>
      </c>
      <c r="F10" s="21">
        <v>157</v>
      </c>
      <c r="G10" s="16" t="s">
        <v>1005</v>
      </c>
      <c r="H10" s="29">
        <v>40</v>
      </c>
    </row>
    <row r="11" spans="1:8" ht="15" customHeight="1" x14ac:dyDescent="0.45">
      <c r="A11" s="18" t="s">
        <v>166</v>
      </c>
      <c r="B11" s="18" t="s">
        <v>167</v>
      </c>
      <c r="C11" s="18" t="s">
        <v>1002</v>
      </c>
      <c r="D11" s="24">
        <v>103</v>
      </c>
      <c r="E11" s="24">
        <v>38</v>
      </c>
      <c r="F11" s="24">
        <v>399</v>
      </c>
      <c r="G11" s="18" t="s">
        <v>1007</v>
      </c>
      <c r="H11" s="30">
        <v>49</v>
      </c>
    </row>
    <row r="12" spans="1:8" ht="15" customHeight="1" x14ac:dyDescent="0.45">
      <c r="A12" s="16" t="s">
        <v>166</v>
      </c>
      <c r="B12" s="16" t="s">
        <v>167</v>
      </c>
      <c r="C12" s="16" t="s">
        <v>1004</v>
      </c>
      <c r="D12" s="21">
        <v>68</v>
      </c>
      <c r="E12" s="21">
        <v>12</v>
      </c>
      <c r="F12" s="21">
        <v>285</v>
      </c>
      <c r="G12" s="16" t="s">
        <v>1009</v>
      </c>
      <c r="H12" s="29">
        <v>27</v>
      </c>
    </row>
    <row r="13" spans="1:8" ht="15" customHeight="1" x14ac:dyDescent="0.45">
      <c r="A13" s="18" t="s">
        <v>166</v>
      </c>
      <c r="B13" s="18" t="s">
        <v>167</v>
      </c>
      <c r="C13" s="18" t="s">
        <v>1006</v>
      </c>
      <c r="D13" s="24">
        <v>139</v>
      </c>
      <c r="E13" s="24">
        <v>33</v>
      </c>
      <c r="F13" s="24">
        <v>187</v>
      </c>
      <c r="G13" s="18" t="s">
        <v>1003</v>
      </c>
      <c r="H13" s="30">
        <v>40</v>
      </c>
    </row>
    <row r="14" spans="1:8" ht="15" customHeight="1" x14ac:dyDescent="0.45">
      <c r="A14" s="16" t="s">
        <v>171</v>
      </c>
      <c r="B14" s="16" t="s">
        <v>172</v>
      </c>
      <c r="C14" s="16" t="s">
        <v>1002</v>
      </c>
      <c r="D14" s="21">
        <v>25</v>
      </c>
      <c r="E14" s="21">
        <v>7</v>
      </c>
      <c r="F14" s="21">
        <v>231</v>
      </c>
      <c r="G14" s="16" t="s">
        <v>1009</v>
      </c>
      <c r="H14" s="29">
        <v>18</v>
      </c>
    </row>
    <row r="15" spans="1:8" ht="15" customHeight="1" x14ac:dyDescent="0.45">
      <c r="A15" s="18" t="s">
        <v>171</v>
      </c>
      <c r="B15" s="18" t="s">
        <v>172</v>
      </c>
      <c r="C15" s="18" t="s">
        <v>1004</v>
      </c>
      <c r="D15" s="24">
        <v>137</v>
      </c>
      <c r="E15" s="24">
        <v>17</v>
      </c>
      <c r="F15" s="24">
        <v>140</v>
      </c>
      <c r="G15" s="18" t="s">
        <v>1009</v>
      </c>
      <c r="H15" s="30">
        <v>29</v>
      </c>
    </row>
    <row r="16" spans="1:8" ht="15" customHeight="1" x14ac:dyDescent="0.45">
      <c r="A16" s="16" t="s">
        <v>171</v>
      </c>
      <c r="B16" s="16" t="s">
        <v>172</v>
      </c>
      <c r="C16" s="16" t="s">
        <v>1006</v>
      </c>
      <c r="D16" s="21">
        <v>110</v>
      </c>
      <c r="E16" s="21">
        <v>5</v>
      </c>
      <c r="F16" s="21">
        <v>55</v>
      </c>
      <c r="G16" s="16" t="s">
        <v>1007</v>
      </c>
      <c r="H16" s="29">
        <v>16</v>
      </c>
    </row>
    <row r="17" spans="1:8" ht="15" customHeight="1" x14ac:dyDescent="0.45">
      <c r="A17" s="18" t="s">
        <v>179</v>
      </c>
      <c r="B17" s="18" t="s">
        <v>180</v>
      </c>
      <c r="C17" s="18" t="s">
        <v>1002</v>
      </c>
      <c r="D17" s="24">
        <v>146</v>
      </c>
      <c r="E17" s="24">
        <v>40</v>
      </c>
      <c r="F17" s="24">
        <v>364</v>
      </c>
      <c r="G17" s="18" t="s">
        <v>1003</v>
      </c>
      <c r="H17" s="30">
        <v>53</v>
      </c>
    </row>
    <row r="18" spans="1:8" ht="15" customHeight="1" x14ac:dyDescent="0.45">
      <c r="A18" s="16" t="s">
        <v>179</v>
      </c>
      <c r="B18" s="16" t="s">
        <v>180</v>
      </c>
      <c r="C18" s="16" t="s">
        <v>1004</v>
      </c>
      <c r="D18" s="21">
        <v>93</v>
      </c>
      <c r="E18" s="21">
        <v>36</v>
      </c>
      <c r="F18" s="21">
        <v>34</v>
      </c>
      <c r="G18" s="16" t="s">
        <v>1008</v>
      </c>
      <c r="H18" s="29">
        <v>29</v>
      </c>
    </row>
    <row r="19" spans="1:8" ht="15" customHeight="1" x14ac:dyDescent="0.45">
      <c r="A19" s="18" t="s">
        <v>179</v>
      </c>
      <c r="B19" s="18" t="s">
        <v>180</v>
      </c>
      <c r="C19" s="18" t="s">
        <v>1006</v>
      </c>
      <c r="D19" s="24">
        <v>130</v>
      </c>
      <c r="E19" s="24">
        <v>10</v>
      </c>
      <c r="F19" s="24">
        <v>165</v>
      </c>
      <c r="G19" s="18" t="s">
        <v>1007</v>
      </c>
      <c r="H19" s="30">
        <v>26</v>
      </c>
    </row>
    <row r="20" spans="1:8" ht="15" customHeight="1" x14ac:dyDescent="0.45">
      <c r="A20" s="16" t="s">
        <v>184</v>
      </c>
      <c r="B20" s="16" t="s">
        <v>185</v>
      </c>
      <c r="C20" s="16" t="s">
        <v>1002</v>
      </c>
      <c r="D20" s="21">
        <v>123</v>
      </c>
      <c r="E20" s="21">
        <v>25</v>
      </c>
      <c r="F20" s="21">
        <v>53</v>
      </c>
      <c r="G20" s="16" t="s">
        <v>1003</v>
      </c>
      <c r="H20" s="29">
        <v>27</v>
      </c>
    </row>
    <row r="21" spans="1:8" ht="15" customHeight="1" x14ac:dyDescent="0.45">
      <c r="A21" s="18" t="s">
        <v>184</v>
      </c>
      <c r="B21" s="18" t="s">
        <v>185</v>
      </c>
      <c r="C21" s="18" t="s">
        <v>1004</v>
      </c>
      <c r="D21" s="24">
        <v>33</v>
      </c>
      <c r="E21" s="24">
        <v>38</v>
      </c>
      <c r="F21" s="24">
        <v>317</v>
      </c>
      <c r="G21" s="18" t="s">
        <v>1005</v>
      </c>
      <c r="H21" s="30">
        <v>38</v>
      </c>
    </row>
    <row r="22" spans="1:8" ht="15" customHeight="1" x14ac:dyDescent="0.45">
      <c r="A22" s="16" t="s">
        <v>184</v>
      </c>
      <c r="B22" s="16" t="s">
        <v>185</v>
      </c>
      <c r="C22" s="16" t="s">
        <v>1006</v>
      </c>
      <c r="D22" s="21">
        <v>112</v>
      </c>
      <c r="E22" s="21">
        <v>37</v>
      </c>
      <c r="F22" s="21">
        <v>177</v>
      </c>
      <c r="G22" s="16" t="s">
        <v>1008</v>
      </c>
      <c r="H22" s="29">
        <v>39</v>
      </c>
    </row>
    <row r="23" spans="1:8" ht="15" customHeight="1" x14ac:dyDescent="0.45">
      <c r="A23" s="18" t="s">
        <v>190</v>
      </c>
      <c r="B23" s="18" t="s">
        <v>191</v>
      </c>
      <c r="C23" s="18" t="s">
        <v>1002</v>
      </c>
      <c r="D23" s="24">
        <v>118</v>
      </c>
      <c r="E23" s="24">
        <v>34</v>
      </c>
      <c r="F23" s="24">
        <v>260</v>
      </c>
      <c r="G23" s="18" t="s">
        <v>1009</v>
      </c>
      <c r="H23" s="30">
        <v>42</v>
      </c>
    </row>
    <row r="24" spans="1:8" ht="15" customHeight="1" x14ac:dyDescent="0.45">
      <c r="A24" s="16" t="s">
        <v>190</v>
      </c>
      <c r="B24" s="16" t="s">
        <v>191</v>
      </c>
      <c r="C24" s="16" t="s">
        <v>1004</v>
      </c>
      <c r="D24" s="21">
        <v>91</v>
      </c>
      <c r="E24" s="21">
        <v>9</v>
      </c>
      <c r="F24" s="21">
        <v>95</v>
      </c>
      <c r="G24" s="16" t="s">
        <v>1008</v>
      </c>
      <c r="H24" s="29">
        <v>18</v>
      </c>
    </row>
    <row r="25" spans="1:8" ht="15" customHeight="1" x14ac:dyDescent="0.45">
      <c r="A25" s="18" t="s">
        <v>190</v>
      </c>
      <c r="B25" s="18" t="s">
        <v>191</v>
      </c>
      <c r="C25" s="18" t="s">
        <v>1006</v>
      </c>
      <c r="D25" s="24">
        <v>120</v>
      </c>
      <c r="E25" s="24">
        <v>25</v>
      </c>
      <c r="F25" s="24">
        <v>203</v>
      </c>
      <c r="G25" s="18" t="s">
        <v>1009</v>
      </c>
      <c r="H25" s="30">
        <v>35</v>
      </c>
    </row>
    <row r="26" spans="1:8" x14ac:dyDescent="0.45">
      <c r="A26" s="20" t="s">
        <v>197</v>
      </c>
      <c r="B26" s="20" t="s">
        <v>198</v>
      </c>
      <c r="C26" s="20" t="s">
        <v>1002</v>
      </c>
      <c r="D26" s="20">
        <v>48</v>
      </c>
      <c r="E26" s="20">
        <v>10</v>
      </c>
      <c r="F26" s="20">
        <v>140</v>
      </c>
      <c r="G26" s="20" t="s">
        <v>1005</v>
      </c>
      <c r="H26" s="20">
        <v>20</v>
      </c>
    </row>
    <row r="27" spans="1:8" x14ac:dyDescent="0.45">
      <c r="A27" s="3" t="s">
        <v>197</v>
      </c>
      <c r="B27" s="3" t="s">
        <v>198</v>
      </c>
      <c r="C27" s="3" t="s">
        <v>1004</v>
      </c>
      <c r="D27" s="3">
        <v>96</v>
      </c>
      <c r="E27" s="3">
        <v>24</v>
      </c>
      <c r="F27" s="3">
        <v>210</v>
      </c>
      <c r="G27" s="3" t="s">
        <v>1005</v>
      </c>
      <c r="H27" s="3">
        <v>34</v>
      </c>
    </row>
    <row r="28" spans="1:8" x14ac:dyDescent="0.45">
      <c r="A28" s="20" t="s">
        <v>197</v>
      </c>
      <c r="B28" s="20" t="s">
        <v>198</v>
      </c>
      <c r="C28" s="20" t="s">
        <v>1006</v>
      </c>
      <c r="D28" s="20">
        <v>120</v>
      </c>
      <c r="E28" s="20">
        <v>30</v>
      </c>
      <c r="F28" s="20">
        <v>180</v>
      </c>
      <c r="G28" s="20" t="s">
        <v>1005</v>
      </c>
      <c r="H28" s="20">
        <v>40</v>
      </c>
    </row>
    <row r="29" spans="1:8" x14ac:dyDescent="0.45">
      <c r="A29" s="3" t="s">
        <v>204</v>
      </c>
      <c r="B29" s="3" t="s">
        <v>153</v>
      </c>
      <c r="C29" s="3" t="s">
        <v>1002</v>
      </c>
      <c r="D29" s="3">
        <v>60</v>
      </c>
      <c r="E29" s="3">
        <v>14</v>
      </c>
      <c r="F29" s="3">
        <v>190</v>
      </c>
      <c r="G29" s="3" t="s">
        <v>1010</v>
      </c>
      <c r="H29" s="3">
        <v>28</v>
      </c>
    </row>
    <row r="30" spans="1:8" x14ac:dyDescent="0.45">
      <c r="A30" s="20" t="s">
        <v>204</v>
      </c>
      <c r="B30" s="20" t="s">
        <v>153</v>
      </c>
      <c r="C30" s="20" t="s">
        <v>1004</v>
      </c>
      <c r="D30" s="20">
        <v>140</v>
      </c>
      <c r="E30" s="20">
        <v>30</v>
      </c>
      <c r="F30" s="20">
        <v>240</v>
      </c>
      <c r="G30" s="20" t="s">
        <v>1010</v>
      </c>
      <c r="H30" s="20">
        <v>45</v>
      </c>
    </row>
    <row r="31" spans="1:8" x14ac:dyDescent="0.45">
      <c r="A31" s="3" t="s">
        <v>204</v>
      </c>
      <c r="B31" s="3" t="s">
        <v>153</v>
      </c>
      <c r="C31" s="3" t="s">
        <v>1006</v>
      </c>
      <c r="D31" s="3">
        <v>110</v>
      </c>
      <c r="E31" s="3">
        <v>26</v>
      </c>
      <c r="F31" s="3">
        <v>160</v>
      </c>
      <c r="G31" s="3" t="s">
        <v>1010</v>
      </c>
      <c r="H31" s="3">
        <v>38</v>
      </c>
    </row>
    <row r="32" spans="1:8" x14ac:dyDescent="0.45">
      <c r="A32" s="20" t="s">
        <v>205</v>
      </c>
      <c r="B32" s="20" t="s">
        <v>206</v>
      </c>
      <c r="C32" s="20" t="s">
        <v>1002</v>
      </c>
      <c r="D32" s="20">
        <v>40</v>
      </c>
      <c r="E32" s="20">
        <v>8</v>
      </c>
      <c r="F32" s="20">
        <v>120</v>
      </c>
      <c r="G32" s="20" t="s">
        <v>1007</v>
      </c>
      <c r="H32" s="20">
        <v>16</v>
      </c>
    </row>
    <row r="33" spans="1:8" x14ac:dyDescent="0.45">
      <c r="A33" s="3" t="s">
        <v>205</v>
      </c>
      <c r="B33" s="3" t="s">
        <v>206</v>
      </c>
      <c r="C33" s="3" t="s">
        <v>1004</v>
      </c>
      <c r="D33" s="3">
        <v>90</v>
      </c>
      <c r="E33" s="3">
        <v>20</v>
      </c>
      <c r="F33" s="3">
        <v>180</v>
      </c>
      <c r="G33" s="3" t="s">
        <v>1007</v>
      </c>
      <c r="H33" s="3">
        <v>30</v>
      </c>
    </row>
    <row r="34" spans="1:8" x14ac:dyDescent="0.45">
      <c r="A34" s="20" t="s">
        <v>205</v>
      </c>
      <c r="B34" s="20" t="s">
        <v>206</v>
      </c>
      <c r="C34" s="20" t="s">
        <v>1006</v>
      </c>
      <c r="D34" s="20">
        <v>70</v>
      </c>
      <c r="E34" s="20">
        <v>16</v>
      </c>
      <c r="F34" s="20">
        <v>110</v>
      </c>
      <c r="G34" s="20" t="s">
        <v>1007</v>
      </c>
      <c r="H34" s="20">
        <v>24</v>
      </c>
    </row>
    <row r="35" spans="1:8" x14ac:dyDescent="0.45">
      <c r="A35" s="3" t="s">
        <v>209</v>
      </c>
      <c r="B35" s="3" t="s">
        <v>210</v>
      </c>
      <c r="C35" s="3" t="s">
        <v>1002</v>
      </c>
      <c r="D35" s="3">
        <v>30</v>
      </c>
      <c r="E35" s="3">
        <v>6</v>
      </c>
      <c r="F35" s="3">
        <v>90</v>
      </c>
      <c r="G35" s="3" t="s">
        <v>1011</v>
      </c>
      <c r="H35" s="3">
        <v>12</v>
      </c>
    </row>
    <row r="36" spans="1:8" x14ac:dyDescent="0.45">
      <c r="A36" s="20" t="s">
        <v>209</v>
      </c>
      <c r="B36" s="20" t="s">
        <v>210</v>
      </c>
      <c r="C36" s="20" t="s">
        <v>1004</v>
      </c>
      <c r="D36" s="20">
        <v>80</v>
      </c>
      <c r="E36" s="20">
        <v>18</v>
      </c>
      <c r="F36" s="20">
        <v>150</v>
      </c>
      <c r="G36" s="20" t="s">
        <v>1011</v>
      </c>
      <c r="H36" s="20">
        <v>26</v>
      </c>
    </row>
    <row r="37" spans="1:8" x14ac:dyDescent="0.45">
      <c r="A37" s="3" t="s">
        <v>209</v>
      </c>
      <c r="B37" s="3" t="s">
        <v>210</v>
      </c>
      <c r="C37" s="3" t="s">
        <v>1006</v>
      </c>
      <c r="D37" s="3">
        <v>120</v>
      </c>
      <c r="E37" s="3">
        <v>28</v>
      </c>
      <c r="F37" s="3">
        <v>200</v>
      </c>
      <c r="G37" s="3" t="s">
        <v>1011</v>
      </c>
      <c r="H37" s="3">
        <v>40</v>
      </c>
    </row>
    <row r="38" spans="1:8" x14ac:dyDescent="0.45">
      <c r="A38" s="20" t="s">
        <v>213</v>
      </c>
      <c r="B38" s="20" t="s">
        <v>214</v>
      </c>
      <c r="C38" s="20" t="s">
        <v>1002</v>
      </c>
      <c r="D38" s="20">
        <v>35</v>
      </c>
      <c r="E38" s="20">
        <v>7</v>
      </c>
      <c r="F38" s="20">
        <v>100</v>
      </c>
      <c r="G38" s="20" t="s">
        <v>1012</v>
      </c>
      <c r="H38" s="20">
        <v>14</v>
      </c>
    </row>
    <row r="39" spans="1:8" x14ac:dyDescent="0.45">
      <c r="A39" s="3" t="s">
        <v>213</v>
      </c>
      <c r="B39" s="3" t="s">
        <v>214</v>
      </c>
      <c r="C39" s="3" t="s">
        <v>1004</v>
      </c>
      <c r="D39" s="3">
        <v>70</v>
      </c>
      <c r="E39" s="3">
        <v>16</v>
      </c>
      <c r="F39" s="3">
        <v>130</v>
      </c>
      <c r="G39" s="3" t="s">
        <v>1012</v>
      </c>
      <c r="H39" s="3">
        <v>24</v>
      </c>
    </row>
    <row r="40" spans="1:8" x14ac:dyDescent="0.45">
      <c r="A40" s="20" t="s">
        <v>213</v>
      </c>
      <c r="B40" s="20" t="s">
        <v>214</v>
      </c>
      <c r="C40" s="20" t="s">
        <v>1006</v>
      </c>
      <c r="D40" s="20">
        <v>60</v>
      </c>
      <c r="E40" s="20">
        <v>14</v>
      </c>
      <c r="F40" s="20">
        <v>95</v>
      </c>
      <c r="G40" s="20" t="s">
        <v>1012</v>
      </c>
      <c r="H40" s="20">
        <v>20</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20" customWidth="1"/>
    <col min="4" max="5" width="15" customWidth="1"/>
    <col min="6" max="6" width="14" customWidth="1"/>
    <col min="7" max="7" width="18" customWidth="1"/>
    <col min="8" max="8" width="11" customWidth="1"/>
    <col min="9" max="9" width="13" customWidth="1"/>
    <col min="10" max="10" width="12" customWidth="1"/>
  </cols>
  <sheetData>
    <row r="1" spans="1:10" ht="23.25" customHeight="1" x14ac:dyDescent="0.45">
      <c r="A1" s="15" t="s">
        <v>131</v>
      </c>
      <c r="B1" s="15" t="s">
        <v>132</v>
      </c>
      <c r="C1" s="15" t="s">
        <v>1013</v>
      </c>
      <c r="D1" s="15" t="s">
        <v>1014</v>
      </c>
      <c r="E1" s="15" t="s">
        <v>1015</v>
      </c>
      <c r="F1" s="15" t="s">
        <v>1016</v>
      </c>
      <c r="G1" s="15" t="s">
        <v>1017</v>
      </c>
      <c r="H1" s="15" t="s">
        <v>1018</v>
      </c>
      <c r="I1" s="15" t="s">
        <v>1019</v>
      </c>
      <c r="J1" s="15" t="s">
        <v>1020</v>
      </c>
    </row>
    <row r="2" spans="1:10" ht="15" customHeight="1" x14ac:dyDescent="0.45">
      <c r="A2" s="16" t="s">
        <v>142</v>
      </c>
      <c r="B2" s="16" t="s">
        <v>143</v>
      </c>
      <c r="C2" s="16" t="s">
        <v>1021</v>
      </c>
      <c r="D2" s="21">
        <v>2500</v>
      </c>
      <c r="E2" s="21">
        <v>1600</v>
      </c>
      <c r="F2" s="31">
        <f t="shared" ref="F2:F14" si="0">E2/D2</f>
        <v>0.64</v>
      </c>
      <c r="G2" s="21">
        <v>220</v>
      </c>
      <c r="H2" s="16" t="s">
        <v>1022</v>
      </c>
      <c r="I2" s="16" t="s">
        <v>225</v>
      </c>
      <c r="J2" s="16" t="s">
        <v>608</v>
      </c>
    </row>
    <row r="3" spans="1:10" ht="15" customHeight="1" x14ac:dyDescent="0.45">
      <c r="A3" s="18" t="s">
        <v>152</v>
      </c>
      <c r="B3" s="18" t="s">
        <v>153</v>
      </c>
      <c r="C3" s="18" t="s">
        <v>1023</v>
      </c>
      <c r="D3" s="24">
        <v>4000</v>
      </c>
      <c r="E3" s="24">
        <v>1800</v>
      </c>
      <c r="F3" s="32">
        <f t="shared" si="0"/>
        <v>0.45</v>
      </c>
      <c r="G3" s="24">
        <v>300</v>
      </c>
      <c r="H3" s="18" t="s">
        <v>1024</v>
      </c>
      <c r="I3" s="18" t="s">
        <v>225</v>
      </c>
      <c r="J3" s="18" t="s">
        <v>775</v>
      </c>
    </row>
    <row r="4" spans="1:10" ht="15" customHeight="1" x14ac:dyDescent="0.45">
      <c r="A4" s="16" t="s">
        <v>161</v>
      </c>
      <c r="B4" s="16" t="s">
        <v>162</v>
      </c>
      <c r="C4" s="16" t="s">
        <v>1025</v>
      </c>
      <c r="D4" s="21">
        <v>6000</v>
      </c>
      <c r="E4" s="21">
        <v>4700</v>
      </c>
      <c r="F4" s="31">
        <f t="shared" si="0"/>
        <v>0.78333333333333333</v>
      </c>
      <c r="G4" s="21">
        <v>510</v>
      </c>
      <c r="H4" s="16" t="s">
        <v>1026</v>
      </c>
      <c r="I4" s="16" t="s">
        <v>225</v>
      </c>
      <c r="J4" s="16" t="s">
        <v>456</v>
      </c>
    </row>
    <row r="5" spans="1:10" ht="15" customHeight="1" x14ac:dyDescent="0.45">
      <c r="A5" s="18" t="s">
        <v>166</v>
      </c>
      <c r="B5" s="18" t="s">
        <v>167</v>
      </c>
      <c r="C5" s="18" t="s">
        <v>1027</v>
      </c>
      <c r="D5" s="24">
        <v>2000</v>
      </c>
      <c r="E5" s="24">
        <v>600</v>
      </c>
      <c r="F5" s="32">
        <f t="shared" si="0"/>
        <v>0.3</v>
      </c>
      <c r="G5" s="24">
        <v>90</v>
      </c>
      <c r="H5" s="18" t="s">
        <v>1028</v>
      </c>
      <c r="I5" s="18" t="s">
        <v>225</v>
      </c>
      <c r="J5" s="18" t="s">
        <v>1029</v>
      </c>
    </row>
    <row r="6" spans="1:10" ht="15" customHeight="1" x14ac:dyDescent="0.45">
      <c r="A6" s="16" t="s">
        <v>171</v>
      </c>
      <c r="B6" s="16" t="s">
        <v>172</v>
      </c>
      <c r="C6" s="16" t="s">
        <v>1021</v>
      </c>
      <c r="D6" s="21">
        <v>1200</v>
      </c>
      <c r="E6" s="21">
        <v>700</v>
      </c>
      <c r="F6" s="31">
        <f t="shared" si="0"/>
        <v>0.58333333333333337</v>
      </c>
      <c r="G6" s="21">
        <v>110</v>
      </c>
      <c r="H6" s="16" t="s">
        <v>1030</v>
      </c>
      <c r="I6" s="16" t="s">
        <v>225</v>
      </c>
      <c r="J6" s="16" t="s">
        <v>1031</v>
      </c>
    </row>
    <row r="7" spans="1:10" ht="15" customHeight="1" x14ac:dyDescent="0.45">
      <c r="A7" s="18" t="s">
        <v>179</v>
      </c>
      <c r="B7" s="18" t="s">
        <v>180</v>
      </c>
      <c r="C7" s="18" t="s">
        <v>1032</v>
      </c>
      <c r="D7" s="24">
        <v>1500</v>
      </c>
      <c r="E7" s="24">
        <v>900</v>
      </c>
      <c r="F7" s="32">
        <f t="shared" si="0"/>
        <v>0.6</v>
      </c>
      <c r="G7" s="24">
        <v>140</v>
      </c>
      <c r="H7" s="18" t="s">
        <v>1033</v>
      </c>
      <c r="I7" s="18" t="s">
        <v>225</v>
      </c>
      <c r="J7" s="18" t="s">
        <v>1034</v>
      </c>
    </row>
    <row r="8" spans="1:10" ht="15" customHeight="1" x14ac:dyDescent="0.45">
      <c r="A8" s="16" t="s">
        <v>184</v>
      </c>
      <c r="B8" s="16" t="s">
        <v>185</v>
      </c>
      <c r="C8" s="16" t="s">
        <v>1035</v>
      </c>
      <c r="D8" s="21">
        <v>1300</v>
      </c>
      <c r="E8" s="21">
        <v>600</v>
      </c>
      <c r="F8" s="31">
        <f t="shared" si="0"/>
        <v>0.46153846153846156</v>
      </c>
      <c r="G8" s="21">
        <v>80</v>
      </c>
      <c r="H8" s="16" t="s">
        <v>1026</v>
      </c>
      <c r="I8" s="16" t="s">
        <v>225</v>
      </c>
      <c r="J8" s="16" t="s">
        <v>604</v>
      </c>
    </row>
    <row r="9" spans="1:10" ht="15" customHeight="1" x14ac:dyDescent="0.45">
      <c r="A9" s="18" t="s">
        <v>190</v>
      </c>
      <c r="B9" s="18" t="s">
        <v>191</v>
      </c>
      <c r="C9" s="18" t="s">
        <v>1036</v>
      </c>
      <c r="D9" s="24">
        <v>3500</v>
      </c>
      <c r="E9" s="24">
        <v>2400</v>
      </c>
      <c r="F9" s="32">
        <f t="shared" si="0"/>
        <v>0.68571428571428572</v>
      </c>
      <c r="G9" s="24">
        <v>360</v>
      </c>
      <c r="H9" s="18" t="s">
        <v>1033</v>
      </c>
      <c r="I9" s="18" t="s">
        <v>225</v>
      </c>
      <c r="J9" s="18" t="s">
        <v>766</v>
      </c>
    </row>
    <row r="10" spans="1:10" x14ac:dyDescent="0.45">
      <c r="A10" s="20" t="s">
        <v>197</v>
      </c>
      <c r="B10" s="20" t="s">
        <v>198</v>
      </c>
      <c r="C10" s="20" t="s">
        <v>1021</v>
      </c>
      <c r="D10" s="20">
        <v>5000</v>
      </c>
      <c r="E10" s="20">
        <v>3200</v>
      </c>
      <c r="F10" s="20">
        <f t="shared" si="0"/>
        <v>0.64</v>
      </c>
      <c r="G10" s="20">
        <v>320</v>
      </c>
      <c r="H10" s="20" t="s">
        <v>1026</v>
      </c>
      <c r="I10" s="20" t="s">
        <v>225</v>
      </c>
      <c r="J10" s="20" t="s">
        <v>305</v>
      </c>
    </row>
    <row r="11" spans="1:10" x14ac:dyDescent="0.45">
      <c r="A11" s="3" t="s">
        <v>204</v>
      </c>
      <c r="B11" s="3" t="s">
        <v>153</v>
      </c>
      <c r="C11" s="3" t="s">
        <v>1023</v>
      </c>
      <c r="D11" s="3">
        <v>4000</v>
      </c>
      <c r="E11" s="3">
        <v>1800</v>
      </c>
      <c r="F11" s="3">
        <f t="shared" si="0"/>
        <v>0.45</v>
      </c>
      <c r="G11" s="3">
        <v>300</v>
      </c>
      <c r="H11" s="3" t="s">
        <v>1024</v>
      </c>
      <c r="I11" s="3" t="s">
        <v>225</v>
      </c>
      <c r="J11" s="3" t="s">
        <v>775</v>
      </c>
    </row>
    <row r="12" spans="1:10" x14ac:dyDescent="0.45">
      <c r="A12" s="20" t="s">
        <v>205</v>
      </c>
      <c r="B12" s="20" t="s">
        <v>206</v>
      </c>
      <c r="C12" s="20" t="s">
        <v>1021</v>
      </c>
      <c r="D12" s="20">
        <v>5000</v>
      </c>
      <c r="E12" s="20">
        <v>2900</v>
      </c>
      <c r="F12" s="20">
        <f t="shared" si="0"/>
        <v>0.57999999999999996</v>
      </c>
      <c r="G12" s="20">
        <v>280</v>
      </c>
      <c r="H12" s="20" t="s">
        <v>1030</v>
      </c>
      <c r="I12" s="20" t="s">
        <v>225</v>
      </c>
      <c r="J12" s="20" t="s">
        <v>251</v>
      </c>
    </row>
    <row r="13" spans="1:10" x14ac:dyDescent="0.45">
      <c r="A13" s="3" t="s">
        <v>209</v>
      </c>
      <c r="B13" s="3" t="s">
        <v>210</v>
      </c>
      <c r="C13" s="3" t="s">
        <v>1037</v>
      </c>
      <c r="D13" s="3">
        <v>3500</v>
      </c>
      <c r="E13" s="3">
        <v>2400</v>
      </c>
      <c r="F13" s="3">
        <f t="shared" si="0"/>
        <v>0.68571428571428572</v>
      </c>
      <c r="G13" s="3">
        <v>260</v>
      </c>
      <c r="H13" s="3" t="s">
        <v>1038</v>
      </c>
      <c r="I13" s="3" t="s">
        <v>225</v>
      </c>
      <c r="J13" s="3" t="s">
        <v>253</v>
      </c>
    </row>
    <row r="14" spans="1:10" x14ac:dyDescent="0.45">
      <c r="A14" s="20" t="s">
        <v>213</v>
      </c>
      <c r="B14" s="20" t="s">
        <v>214</v>
      </c>
      <c r="C14" s="20" t="s">
        <v>1021</v>
      </c>
      <c r="D14" s="20">
        <v>7000</v>
      </c>
      <c r="E14" s="20">
        <v>5200</v>
      </c>
      <c r="F14" s="20">
        <f t="shared" si="0"/>
        <v>0.74285714285714288</v>
      </c>
      <c r="G14" s="20">
        <v>540</v>
      </c>
      <c r="H14" s="20" t="s">
        <v>1033</v>
      </c>
      <c r="I14" s="20" t="s">
        <v>225</v>
      </c>
      <c r="J14" s="20" t="s">
        <v>255</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12" customWidth="1"/>
    <col min="4" max="4" width="11" customWidth="1"/>
    <col min="5" max="5" width="16" customWidth="1"/>
    <col min="6" max="6" width="17" customWidth="1"/>
    <col min="7" max="8" width="19" customWidth="1"/>
    <col min="9" max="9" width="15" customWidth="1"/>
    <col min="10" max="10" width="17" customWidth="1"/>
  </cols>
  <sheetData>
    <row r="1" spans="1:10" ht="23.25" customHeight="1" x14ac:dyDescent="0.45">
      <c r="A1" s="15" t="s">
        <v>131</v>
      </c>
      <c r="B1" s="15" t="s">
        <v>132</v>
      </c>
      <c r="C1" s="15" t="s">
        <v>1039</v>
      </c>
      <c r="D1" s="15" t="s">
        <v>1040</v>
      </c>
      <c r="E1" s="15" t="s">
        <v>1041</v>
      </c>
      <c r="F1" s="15" t="s">
        <v>1042</v>
      </c>
      <c r="G1" s="15" t="s">
        <v>1043</v>
      </c>
      <c r="H1" s="15" t="s">
        <v>1044</v>
      </c>
      <c r="I1" s="15" t="s">
        <v>1045</v>
      </c>
      <c r="J1" s="15" t="s">
        <v>1046</v>
      </c>
    </row>
    <row r="2" spans="1:10" ht="15" customHeight="1" x14ac:dyDescent="0.45">
      <c r="A2" s="16" t="s">
        <v>142</v>
      </c>
      <c r="B2" s="16" t="s">
        <v>143</v>
      </c>
      <c r="C2" s="16" t="s">
        <v>302</v>
      </c>
      <c r="D2" s="16" t="s">
        <v>302</v>
      </c>
      <c r="E2" s="21">
        <v>25</v>
      </c>
      <c r="F2" s="21">
        <v>180</v>
      </c>
      <c r="G2" s="21">
        <v>140</v>
      </c>
      <c r="H2" s="21">
        <v>900</v>
      </c>
      <c r="I2" s="21">
        <v>3200</v>
      </c>
      <c r="J2" s="21">
        <v>190</v>
      </c>
    </row>
    <row r="3" spans="1:10" ht="15" customHeight="1" x14ac:dyDescent="0.45">
      <c r="A3" s="18" t="s">
        <v>152</v>
      </c>
      <c r="B3" s="18" t="s">
        <v>153</v>
      </c>
      <c r="C3" s="18" t="s">
        <v>302</v>
      </c>
      <c r="D3" s="18" t="s">
        <v>302</v>
      </c>
      <c r="E3" s="24">
        <v>50</v>
      </c>
      <c r="F3" s="24">
        <v>320</v>
      </c>
      <c r="G3" s="24">
        <v>260</v>
      </c>
      <c r="H3" s="24">
        <v>2200</v>
      </c>
      <c r="I3" s="24">
        <v>5100</v>
      </c>
      <c r="J3" s="24">
        <v>290</v>
      </c>
    </row>
    <row r="4" spans="1:10" ht="15" customHeight="1" x14ac:dyDescent="0.45">
      <c r="A4" s="16" t="s">
        <v>161</v>
      </c>
      <c r="B4" s="16" t="s">
        <v>162</v>
      </c>
      <c r="C4" s="16" t="s">
        <v>302</v>
      </c>
      <c r="D4" s="16" t="s">
        <v>302</v>
      </c>
      <c r="E4" s="21">
        <v>30</v>
      </c>
      <c r="F4" s="21">
        <v>410</v>
      </c>
      <c r="G4" s="21">
        <v>380</v>
      </c>
      <c r="H4" s="21">
        <v>1300</v>
      </c>
      <c r="I4" s="21">
        <v>6800</v>
      </c>
      <c r="J4" s="21">
        <v>510</v>
      </c>
    </row>
    <row r="5" spans="1:10" ht="15" customHeight="1" x14ac:dyDescent="0.45">
      <c r="A5" s="18" t="s">
        <v>166</v>
      </c>
      <c r="B5" s="18" t="s">
        <v>167</v>
      </c>
      <c r="C5" s="18" t="s">
        <v>302</v>
      </c>
      <c r="D5" s="18" t="s">
        <v>302</v>
      </c>
      <c r="E5" s="24">
        <v>50</v>
      </c>
      <c r="F5" s="24">
        <v>120</v>
      </c>
      <c r="G5" s="24">
        <v>90</v>
      </c>
      <c r="H5" s="24">
        <v>1400</v>
      </c>
      <c r="I5" s="24">
        <v>1900</v>
      </c>
      <c r="J5" s="24">
        <v>120</v>
      </c>
    </row>
    <row r="6" spans="1:10" ht="15" customHeight="1" x14ac:dyDescent="0.45">
      <c r="A6" s="16" t="s">
        <v>171</v>
      </c>
      <c r="B6" s="16" t="s">
        <v>172</v>
      </c>
      <c r="C6" s="16" t="s">
        <v>302</v>
      </c>
      <c r="D6" s="16" t="s">
        <v>302</v>
      </c>
      <c r="E6" s="21">
        <v>15</v>
      </c>
      <c r="F6" s="21">
        <v>90</v>
      </c>
      <c r="G6" s="21">
        <v>70</v>
      </c>
      <c r="H6" s="21">
        <v>500</v>
      </c>
      <c r="I6" s="21">
        <v>900</v>
      </c>
      <c r="J6" s="21">
        <v>80</v>
      </c>
    </row>
    <row r="7" spans="1:10" ht="15" customHeight="1" x14ac:dyDescent="0.45">
      <c r="A7" s="18" t="s">
        <v>179</v>
      </c>
      <c r="B7" s="18" t="s">
        <v>180</v>
      </c>
      <c r="C7" s="18" t="s">
        <v>302</v>
      </c>
      <c r="D7" s="18" t="s">
        <v>302</v>
      </c>
      <c r="E7" s="24">
        <v>20</v>
      </c>
      <c r="F7" s="24">
        <v>140</v>
      </c>
      <c r="G7" s="24">
        <v>110</v>
      </c>
      <c r="H7" s="24">
        <v>600</v>
      </c>
      <c r="I7" s="24">
        <v>1600</v>
      </c>
      <c r="J7" s="24">
        <v>140</v>
      </c>
    </row>
    <row r="8" spans="1:10" ht="15" customHeight="1" x14ac:dyDescent="0.45">
      <c r="A8" s="16" t="s">
        <v>184</v>
      </c>
      <c r="B8" s="16" t="s">
        <v>185</v>
      </c>
      <c r="C8" s="16" t="s">
        <v>302</v>
      </c>
      <c r="D8" s="16" t="s">
        <v>302</v>
      </c>
      <c r="E8" s="21">
        <v>20</v>
      </c>
      <c r="F8" s="21">
        <v>110</v>
      </c>
      <c r="G8" s="21">
        <v>95</v>
      </c>
      <c r="H8" s="21">
        <v>500</v>
      </c>
      <c r="I8" s="21">
        <v>1400</v>
      </c>
      <c r="J8" s="21">
        <v>90</v>
      </c>
    </row>
    <row r="9" spans="1:10" ht="15" customHeight="1" x14ac:dyDescent="0.45">
      <c r="A9" s="18" t="s">
        <v>190</v>
      </c>
      <c r="B9" s="18" t="s">
        <v>191</v>
      </c>
      <c r="C9" s="18" t="s">
        <v>302</v>
      </c>
      <c r="D9" s="18" t="s">
        <v>302</v>
      </c>
      <c r="E9" s="24">
        <v>25</v>
      </c>
      <c r="F9" s="24">
        <v>290</v>
      </c>
      <c r="G9" s="24">
        <v>240</v>
      </c>
      <c r="H9" s="24">
        <v>1100</v>
      </c>
      <c r="I9" s="24">
        <v>4100</v>
      </c>
      <c r="J9" s="24">
        <v>340</v>
      </c>
    </row>
    <row r="10" spans="1:10" x14ac:dyDescent="0.45">
      <c r="A10" s="20" t="s">
        <v>197</v>
      </c>
      <c r="B10" s="20" t="s">
        <v>198</v>
      </c>
      <c r="C10" s="20" t="s">
        <v>302</v>
      </c>
      <c r="D10" s="20" t="s">
        <v>302</v>
      </c>
      <c r="E10" s="20">
        <v>25</v>
      </c>
      <c r="F10" s="20">
        <v>200</v>
      </c>
      <c r="G10" s="20">
        <v>160</v>
      </c>
      <c r="H10" s="20">
        <v>1000</v>
      </c>
      <c r="I10" s="20">
        <v>3400</v>
      </c>
      <c r="J10" s="20">
        <v>210</v>
      </c>
    </row>
    <row r="11" spans="1:10" x14ac:dyDescent="0.45">
      <c r="A11" s="3" t="s">
        <v>204</v>
      </c>
      <c r="B11" s="3" t="s">
        <v>153</v>
      </c>
      <c r="C11" s="3" t="s">
        <v>302</v>
      </c>
      <c r="D11" s="3" t="s">
        <v>302</v>
      </c>
      <c r="E11" s="3">
        <v>50</v>
      </c>
      <c r="F11" s="3">
        <v>320</v>
      </c>
      <c r="G11" s="3">
        <v>260</v>
      </c>
      <c r="H11" s="3">
        <v>2200</v>
      </c>
      <c r="I11" s="3">
        <v>5100</v>
      </c>
      <c r="J11" s="3">
        <v>290</v>
      </c>
    </row>
    <row r="12" spans="1:10" x14ac:dyDescent="0.45">
      <c r="A12" s="20" t="s">
        <v>205</v>
      </c>
      <c r="B12" s="20" t="s">
        <v>206</v>
      </c>
      <c r="C12" s="20" t="s">
        <v>302</v>
      </c>
      <c r="D12" s="20" t="s">
        <v>302</v>
      </c>
      <c r="E12" s="20">
        <v>30</v>
      </c>
      <c r="F12" s="20">
        <v>240</v>
      </c>
      <c r="G12" s="20">
        <v>190</v>
      </c>
      <c r="H12" s="20">
        <v>1400</v>
      </c>
      <c r="I12" s="20">
        <v>4200</v>
      </c>
      <c r="J12" s="20">
        <v>240</v>
      </c>
    </row>
    <row r="13" spans="1:10" x14ac:dyDescent="0.45">
      <c r="A13" s="3" t="s">
        <v>209</v>
      </c>
      <c r="B13" s="3" t="s">
        <v>210</v>
      </c>
      <c r="C13" s="3" t="s">
        <v>302</v>
      </c>
      <c r="D13" s="3" t="s">
        <v>302</v>
      </c>
      <c r="E13" s="3">
        <v>20</v>
      </c>
      <c r="F13" s="3">
        <v>150</v>
      </c>
      <c r="G13" s="3">
        <v>120</v>
      </c>
      <c r="H13" s="3">
        <v>800</v>
      </c>
      <c r="I13" s="3">
        <v>2600</v>
      </c>
      <c r="J13" s="3">
        <v>160</v>
      </c>
    </row>
    <row r="14" spans="1:10" x14ac:dyDescent="0.45">
      <c r="A14" s="20" t="s">
        <v>213</v>
      </c>
      <c r="B14" s="20" t="s">
        <v>214</v>
      </c>
      <c r="C14" s="20" t="s">
        <v>302</v>
      </c>
      <c r="D14" s="20" t="s">
        <v>302</v>
      </c>
      <c r="E14" s="20">
        <v>40</v>
      </c>
      <c r="F14" s="20">
        <v>360</v>
      </c>
      <c r="G14" s="20">
        <v>300</v>
      </c>
      <c r="H14" s="20">
        <v>1600</v>
      </c>
      <c r="I14" s="20">
        <v>6100</v>
      </c>
      <c r="J14" s="20">
        <v>470</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4"/>
  <sheetViews>
    <sheetView showGridLines="0" tabSelected="1"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16" customWidth="1"/>
    <col min="4" max="4" width="20" customWidth="1"/>
    <col min="5" max="5" width="22" customWidth="1"/>
    <col min="6" max="6" width="16" customWidth="1"/>
    <col min="7" max="8" width="18" customWidth="1"/>
    <col min="9" max="9" width="44" customWidth="1"/>
  </cols>
  <sheetData>
    <row r="1" spans="1:9" ht="23.25" customHeight="1" x14ac:dyDescent="0.45">
      <c r="A1" s="15" t="s">
        <v>131</v>
      </c>
      <c r="B1" s="15" t="s">
        <v>132</v>
      </c>
      <c r="C1" s="15" t="s">
        <v>1047</v>
      </c>
      <c r="D1" s="15" t="s">
        <v>1048</v>
      </c>
      <c r="E1" s="15" t="s">
        <v>1049</v>
      </c>
      <c r="F1" s="15" t="s">
        <v>1050</v>
      </c>
      <c r="G1" s="15" t="s">
        <v>1051</v>
      </c>
      <c r="H1" s="15" t="s">
        <v>1052</v>
      </c>
      <c r="I1" s="15" t="s">
        <v>1053</v>
      </c>
    </row>
    <row r="2" spans="1:9" ht="23.25" customHeight="1" x14ac:dyDescent="0.45">
      <c r="A2" s="16" t="s">
        <v>142</v>
      </c>
      <c r="B2" s="16" t="s">
        <v>143</v>
      </c>
      <c r="C2" s="29">
        <v>62</v>
      </c>
      <c r="D2" s="16" t="s">
        <v>265</v>
      </c>
      <c r="E2" s="16" t="s">
        <v>1054</v>
      </c>
      <c r="F2" s="16">
        <v>150</v>
      </c>
      <c r="G2" s="16" t="s">
        <v>1055</v>
      </c>
      <c r="H2" s="16" t="s">
        <v>299</v>
      </c>
      <c r="I2" s="17" t="s">
        <v>1056</v>
      </c>
    </row>
    <row r="3" spans="1:9" ht="23.25" customHeight="1" x14ac:dyDescent="0.45">
      <c r="A3" s="18" t="s">
        <v>152</v>
      </c>
      <c r="B3" s="18" t="s">
        <v>153</v>
      </c>
      <c r="C3" s="30">
        <v>58</v>
      </c>
      <c r="D3" s="18" t="s">
        <v>270</v>
      </c>
      <c r="E3" s="18" t="s">
        <v>1057</v>
      </c>
      <c r="F3" s="18">
        <v>250</v>
      </c>
      <c r="G3" s="18" t="s">
        <v>423</v>
      </c>
      <c r="H3" s="18" t="s">
        <v>1058</v>
      </c>
      <c r="I3" s="19" t="s">
        <v>1059</v>
      </c>
    </row>
    <row r="4" spans="1:9" ht="23.25" customHeight="1" x14ac:dyDescent="0.45">
      <c r="A4" s="16" t="s">
        <v>161</v>
      </c>
      <c r="B4" s="16" t="s">
        <v>162</v>
      </c>
      <c r="C4" s="29">
        <v>49</v>
      </c>
      <c r="D4" s="16" t="s">
        <v>272</v>
      </c>
      <c r="E4" s="16" t="s">
        <v>1060</v>
      </c>
      <c r="F4" s="16">
        <v>300</v>
      </c>
      <c r="G4" s="16" t="s">
        <v>430</v>
      </c>
      <c r="H4" s="16" t="s">
        <v>308</v>
      </c>
      <c r="I4" s="17" t="s">
        <v>1061</v>
      </c>
    </row>
    <row r="5" spans="1:9" ht="23.25" customHeight="1" x14ac:dyDescent="0.45">
      <c r="A5" s="18" t="s">
        <v>166</v>
      </c>
      <c r="B5" s="18" t="s">
        <v>167</v>
      </c>
      <c r="C5" s="30">
        <v>66</v>
      </c>
      <c r="D5" s="18" t="s">
        <v>270</v>
      </c>
      <c r="E5" s="18" t="s">
        <v>1062</v>
      </c>
      <c r="F5" s="18">
        <v>100</v>
      </c>
      <c r="G5" s="18" t="s">
        <v>480</v>
      </c>
      <c r="H5" s="18" t="s">
        <v>378</v>
      </c>
      <c r="I5" s="19" t="s">
        <v>1063</v>
      </c>
    </row>
    <row r="6" spans="1:9" ht="23.25" customHeight="1" x14ac:dyDescent="0.45">
      <c r="A6" s="16" t="s">
        <v>171</v>
      </c>
      <c r="B6" s="16" t="s">
        <v>172</v>
      </c>
      <c r="C6" s="29">
        <v>41</v>
      </c>
      <c r="D6" s="16" t="s">
        <v>265</v>
      </c>
      <c r="E6" s="16" t="s">
        <v>1064</v>
      </c>
      <c r="F6" s="16" t="s">
        <v>679</v>
      </c>
      <c r="G6" s="16" t="s">
        <v>1065</v>
      </c>
      <c r="H6" s="16" t="s">
        <v>308</v>
      </c>
      <c r="I6" s="17" t="s">
        <v>1066</v>
      </c>
    </row>
    <row r="7" spans="1:9" ht="23.25" customHeight="1" x14ac:dyDescent="0.45">
      <c r="A7" s="18" t="s">
        <v>179</v>
      </c>
      <c r="B7" s="18" t="s">
        <v>180</v>
      </c>
      <c r="C7" s="30">
        <v>55</v>
      </c>
      <c r="D7" s="18" t="s">
        <v>270</v>
      </c>
      <c r="E7" s="18" t="s">
        <v>1054</v>
      </c>
      <c r="F7" s="18">
        <v>120</v>
      </c>
      <c r="G7" s="18" t="s">
        <v>1067</v>
      </c>
      <c r="H7" s="18" t="s">
        <v>327</v>
      </c>
      <c r="I7" s="19" t="s">
        <v>1063</v>
      </c>
    </row>
    <row r="8" spans="1:9" ht="23.25" customHeight="1" x14ac:dyDescent="0.45">
      <c r="A8" s="16" t="s">
        <v>184</v>
      </c>
      <c r="B8" s="16" t="s">
        <v>185</v>
      </c>
      <c r="C8" s="29">
        <v>52</v>
      </c>
      <c r="D8" s="16" t="s">
        <v>272</v>
      </c>
      <c r="E8" s="16" t="s">
        <v>1054</v>
      </c>
      <c r="F8" s="16">
        <v>90</v>
      </c>
      <c r="G8" s="16" t="s">
        <v>458</v>
      </c>
      <c r="H8" s="16" t="s">
        <v>327</v>
      </c>
      <c r="I8" s="17" t="s">
        <v>1063</v>
      </c>
    </row>
    <row r="9" spans="1:9" ht="23.25" customHeight="1" x14ac:dyDescent="0.45">
      <c r="A9" s="18" t="s">
        <v>190</v>
      </c>
      <c r="B9" s="18" t="s">
        <v>191</v>
      </c>
      <c r="C9" s="30">
        <v>60</v>
      </c>
      <c r="D9" s="18" t="s">
        <v>265</v>
      </c>
      <c r="E9" s="18" t="s">
        <v>1054</v>
      </c>
      <c r="F9" s="18">
        <v>200</v>
      </c>
      <c r="G9" s="18" t="s">
        <v>1068</v>
      </c>
      <c r="H9" s="18" t="s">
        <v>308</v>
      </c>
      <c r="I9" s="19" t="s">
        <v>1069</v>
      </c>
    </row>
    <row r="10" spans="1:9" ht="25.5" x14ac:dyDescent="0.45">
      <c r="A10" s="20" t="s">
        <v>197</v>
      </c>
      <c r="B10" s="20" t="s">
        <v>198</v>
      </c>
      <c r="C10" s="20">
        <v>58</v>
      </c>
      <c r="D10" s="20" t="s">
        <v>280</v>
      </c>
      <c r="E10" s="20" t="s">
        <v>1054</v>
      </c>
      <c r="F10" s="20">
        <v>180</v>
      </c>
      <c r="G10" s="20" t="s">
        <v>1055</v>
      </c>
      <c r="H10" s="20" t="s">
        <v>299</v>
      </c>
      <c r="I10" s="20" t="s">
        <v>1070</v>
      </c>
    </row>
    <row r="11" spans="1:9" ht="25.5" x14ac:dyDescent="0.45">
      <c r="A11" s="3" t="s">
        <v>204</v>
      </c>
      <c r="B11" s="3" t="s">
        <v>153</v>
      </c>
      <c r="C11" s="3">
        <v>58</v>
      </c>
      <c r="D11" s="3" t="s">
        <v>270</v>
      </c>
      <c r="E11" s="3" t="s">
        <v>1057</v>
      </c>
      <c r="F11" s="3">
        <v>250</v>
      </c>
      <c r="G11" s="3" t="s">
        <v>423</v>
      </c>
      <c r="H11" s="3" t="s">
        <v>1058</v>
      </c>
      <c r="I11" s="3" t="s">
        <v>1071</v>
      </c>
    </row>
    <row r="12" spans="1:9" ht="25.5" x14ac:dyDescent="0.45">
      <c r="A12" s="20" t="s">
        <v>205</v>
      </c>
      <c r="B12" s="20" t="s">
        <v>206</v>
      </c>
      <c r="C12" s="20">
        <v>54</v>
      </c>
      <c r="D12" s="20" t="s">
        <v>283</v>
      </c>
      <c r="E12" s="20" t="s">
        <v>1054</v>
      </c>
      <c r="F12" s="20">
        <v>200</v>
      </c>
      <c r="G12" s="20" t="s">
        <v>423</v>
      </c>
      <c r="H12" s="20" t="s">
        <v>308</v>
      </c>
      <c r="I12" s="20" t="s">
        <v>1072</v>
      </c>
    </row>
    <row r="13" spans="1:9" ht="25.5" x14ac:dyDescent="0.45">
      <c r="A13" s="3" t="s">
        <v>209</v>
      </c>
      <c r="B13" s="3" t="s">
        <v>210</v>
      </c>
      <c r="C13" s="3">
        <v>47</v>
      </c>
      <c r="D13" s="3" t="s">
        <v>283</v>
      </c>
      <c r="E13" s="3" t="s">
        <v>1060</v>
      </c>
      <c r="F13" s="3">
        <v>150</v>
      </c>
      <c r="G13" s="3" t="s">
        <v>1073</v>
      </c>
      <c r="H13" s="3" t="s">
        <v>388</v>
      </c>
      <c r="I13" s="3" t="s">
        <v>1074</v>
      </c>
    </row>
    <row r="14" spans="1:9" ht="25.5" x14ac:dyDescent="0.45">
      <c r="A14" s="20" t="s">
        <v>213</v>
      </c>
      <c r="B14" s="20" t="s">
        <v>214</v>
      </c>
      <c r="C14" s="20">
        <v>44</v>
      </c>
      <c r="D14" s="20" t="s">
        <v>283</v>
      </c>
      <c r="E14" s="20" t="s">
        <v>1060</v>
      </c>
      <c r="F14" s="20">
        <v>200</v>
      </c>
      <c r="G14" s="20" t="s">
        <v>430</v>
      </c>
      <c r="H14" s="20" t="s">
        <v>1058</v>
      </c>
      <c r="I14" s="20" t="s">
        <v>1075</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9"/>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1" customWidth="1"/>
    <col min="2" max="2" width="10" customWidth="1"/>
    <col min="3" max="4" width="24" customWidth="1"/>
    <col min="5" max="5" width="12" customWidth="1"/>
    <col min="6" max="6" width="26" customWidth="1"/>
    <col min="7" max="7" width="22" customWidth="1"/>
    <col min="8" max="8" width="24" customWidth="1"/>
    <col min="9" max="9" width="17" customWidth="1"/>
    <col min="10" max="10" width="10" customWidth="1"/>
  </cols>
  <sheetData>
    <row r="1" spans="1:10" ht="23.25" customHeight="1" x14ac:dyDescent="0.45">
      <c r="A1" s="15" t="s">
        <v>1076</v>
      </c>
      <c r="B1" s="15" t="s">
        <v>131</v>
      </c>
      <c r="C1" s="15" t="s">
        <v>132</v>
      </c>
      <c r="D1" s="15" t="s">
        <v>1077</v>
      </c>
      <c r="E1" s="15" t="s">
        <v>1078</v>
      </c>
      <c r="F1" s="15" t="s">
        <v>1079</v>
      </c>
      <c r="G1" s="15" t="s">
        <v>1080</v>
      </c>
      <c r="H1" s="15" t="s">
        <v>1081</v>
      </c>
      <c r="I1" s="15" t="s">
        <v>1082</v>
      </c>
      <c r="J1" s="15" t="s">
        <v>1083</v>
      </c>
    </row>
    <row r="2" spans="1:10" ht="23.25" customHeight="1" x14ac:dyDescent="0.45">
      <c r="A2" s="16" t="s">
        <v>1084</v>
      </c>
      <c r="B2" s="16" t="s">
        <v>152</v>
      </c>
      <c r="C2" s="16" t="s">
        <v>153</v>
      </c>
      <c r="D2" s="16" t="s">
        <v>1085</v>
      </c>
      <c r="E2" s="16" t="s">
        <v>439</v>
      </c>
      <c r="F2" s="17" t="s">
        <v>1086</v>
      </c>
      <c r="G2" s="17" t="s">
        <v>1087</v>
      </c>
      <c r="H2" s="17" t="s">
        <v>1088</v>
      </c>
      <c r="I2" s="33" t="s">
        <v>1089</v>
      </c>
      <c r="J2" s="16" t="s">
        <v>1064</v>
      </c>
    </row>
    <row r="3" spans="1:10" ht="23.25" customHeight="1" x14ac:dyDescent="0.45">
      <c r="A3" s="18" t="s">
        <v>1090</v>
      </c>
      <c r="B3" s="18" t="s">
        <v>152</v>
      </c>
      <c r="C3" s="18" t="s">
        <v>153</v>
      </c>
      <c r="D3" s="18" t="s">
        <v>1091</v>
      </c>
      <c r="E3" s="18" t="s">
        <v>439</v>
      </c>
      <c r="F3" s="19" t="s">
        <v>1092</v>
      </c>
      <c r="G3" s="19" t="s">
        <v>1087</v>
      </c>
      <c r="H3" s="19" t="s">
        <v>1093</v>
      </c>
      <c r="I3" s="34" t="s">
        <v>1094</v>
      </c>
      <c r="J3" s="18" t="s">
        <v>1054</v>
      </c>
    </row>
    <row r="4" spans="1:10" ht="15" customHeight="1" x14ac:dyDescent="0.45">
      <c r="A4" s="16" t="s">
        <v>1095</v>
      </c>
      <c r="B4" s="16" t="s">
        <v>161</v>
      </c>
      <c r="C4" s="16" t="s">
        <v>162</v>
      </c>
      <c r="D4" s="16" t="s">
        <v>1096</v>
      </c>
      <c r="E4" s="16" t="s">
        <v>433</v>
      </c>
      <c r="F4" s="17" t="s">
        <v>1097</v>
      </c>
      <c r="G4" s="17" t="s">
        <v>1098</v>
      </c>
      <c r="H4" s="17" t="s">
        <v>1099</v>
      </c>
      <c r="I4" s="33" t="s">
        <v>1100</v>
      </c>
      <c r="J4" s="16" t="s">
        <v>1064</v>
      </c>
    </row>
    <row r="5" spans="1:10" ht="23.25" customHeight="1" x14ac:dyDescent="0.45">
      <c r="A5" s="18" t="s">
        <v>1101</v>
      </c>
      <c r="B5" s="18" t="s">
        <v>161</v>
      </c>
      <c r="C5" s="18" t="s">
        <v>162</v>
      </c>
      <c r="D5" s="18" t="s">
        <v>1102</v>
      </c>
      <c r="E5" s="18" t="s">
        <v>433</v>
      </c>
      <c r="F5" s="19" t="s">
        <v>1103</v>
      </c>
      <c r="G5" s="19" t="s">
        <v>1104</v>
      </c>
      <c r="H5" s="19" t="s">
        <v>1105</v>
      </c>
      <c r="I5" s="34" t="s">
        <v>1106</v>
      </c>
      <c r="J5" s="18" t="s">
        <v>1064</v>
      </c>
    </row>
    <row r="6" spans="1:10" ht="15" customHeight="1" x14ac:dyDescent="0.45">
      <c r="A6" s="16" t="s">
        <v>1107</v>
      </c>
      <c r="B6" s="16" t="s">
        <v>142</v>
      </c>
      <c r="C6" s="16" t="s">
        <v>143</v>
      </c>
      <c r="D6" s="16" t="s">
        <v>1108</v>
      </c>
      <c r="E6" s="16" t="s">
        <v>433</v>
      </c>
      <c r="F6" s="17" t="s">
        <v>1109</v>
      </c>
      <c r="G6" s="17" t="s">
        <v>1110</v>
      </c>
      <c r="H6" s="17" t="s">
        <v>1111</v>
      </c>
      <c r="I6" s="33" t="s">
        <v>1112</v>
      </c>
      <c r="J6" s="16" t="s">
        <v>1054</v>
      </c>
    </row>
    <row r="7" spans="1:10" ht="15" customHeight="1" x14ac:dyDescent="0.45">
      <c r="A7" s="18" t="s">
        <v>1113</v>
      </c>
      <c r="B7" s="18" t="s">
        <v>190</v>
      </c>
      <c r="C7" s="18" t="s">
        <v>191</v>
      </c>
      <c r="D7" s="18" t="s">
        <v>1114</v>
      </c>
      <c r="E7" s="18" t="s">
        <v>1115</v>
      </c>
      <c r="F7" s="19" t="s">
        <v>1116</v>
      </c>
      <c r="G7" s="19" t="s">
        <v>1117</v>
      </c>
      <c r="H7" s="19" t="s">
        <v>1118</v>
      </c>
      <c r="I7" s="34" t="s">
        <v>1119</v>
      </c>
      <c r="J7" s="18" t="s">
        <v>1064</v>
      </c>
    </row>
    <row r="8" spans="1:10" ht="15" customHeight="1" x14ac:dyDescent="0.45">
      <c r="A8" s="16" t="s">
        <v>1120</v>
      </c>
      <c r="B8" s="16" t="s">
        <v>166</v>
      </c>
      <c r="C8" s="16" t="s">
        <v>167</v>
      </c>
      <c r="D8" s="16" t="s">
        <v>1121</v>
      </c>
      <c r="E8" s="16" t="s">
        <v>439</v>
      </c>
      <c r="F8" s="17" t="s">
        <v>1122</v>
      </c>
      <c r="G8" s="17" t="s">
        <v>1123</v>
      </c>
      <c r="H8" s="17" t="s">
        <v>1124</v>
      </c>
      <c r="I8" s="33" t="s">
        <v>1125</v>
      </c>
      <c r="J8" s="16" t="s">
        <v>1062</v>
      </c>
    </row>
    <row r="9" spans="1:10" ht="15" customHeight="1" x14ac:dyDescent="0.45">
      <c r="A9" s="18" t="s">
        <v>1126</v>
      </c>
      <c r="B9" s="18" t="s">
        <v>171</v>
      </c>
      <c r="C9" s="18" t="s">
        <v>172</v>
      </c>
      <c r="D9" s="18" t="s">
        <v>1127</v>
      </c>
      <c r="E9" s="18" t="s">
        <v>1115</v>
      </c>
      <c r="F9" s="19" t="s">
        <v>1128</v>
      </c>
      <c r="G9" s="19" t="s">
        <v>1129</v>
      </c>
      <c r="H9" s="19" t="s">
        <v>1130</v>
      </c>
      <c r="I9" s="34" t="s">
        <v>1131</v>
      </c>
      <c r="J9" s="18" t="s">
        <v>1054</v>
      </c>
    </row>
    <row r="10" spans="1:10" ht="25.5" x14ac:dyDescent="0.45">
      <c r="A10" s="20" t="s">
        <v>1132</v>
      </c>
      <c r="B10" s="20" t="s">
        <v>197</v>
      </c>
      <c r="C10" s="20" t="s">
        <v>198</v>
      </c>
      <c r="D10" s="20" t="s">
        <v>1108</v>
      </c>
      <c r="E10" s="20" t="s">
        <v>433</v>
      </c>
      <c r="F10" s="20" t="s">
        <v>1133</v>
      </c>
      <c r="G10" s="20" t="s">
        <v>1134</v>
      </c>
      <c r="H10" s="20" t="s">
        <v>1135</v>
      </c>
      <c r="I10" s="20" t="s">
        <v>1136</v>
      </c>
      <c r="J10" s="20" t="s">
        <v>1064</v>
      </c>
    </row>
    <row r="11" spans="1:10" ht="25.5" x14ac:dyDescent="0.45">
      <c r="A11" s="3" t="s">
        <v>1137</v>
      </c>
      <c r="B11" s="3" t="s">
        <v>197</v>
      </c>
      <c r="C11" s="3" t="s">
        <v>198</v>
      </c>
      <c r="D11" s="3" t="s">
        <v>1138</v>
      </c>
      <c r="E11" s="3" t="s">
        <v>439</v>
      </c>
      <c r="F11" s="3" t="s">
        <v>1139</v>
      </c>
      <c r="G11" s="3" t="s">
        <v>1140</v>
      </c>
      <c r="H11" s="3" t="s">
        <v>1141</v>
      </c>
      <c r="I11" s="3" t="s">
        <v>1142</v>
      </c>
      <c r="J11" s="3" t="s">
        <v>1054</v>
      </c>
    </row>
    <row r="12" spans="1:10" ht="25.5" x14ac:dyDescent="0.45">
      <c r="A12" s="20" t="s">
        <v>1143</v>
      </c>
      <c r="B12" s="20" t="s">
        <v>204</v>
      </c>
      <c r="C12" s="20" t="s">
        <v>153</v>
      </c>
      <c r="D12" s="20" t="s">
        <v>1085</v>
      </c>
      <c r="E12" s="20" t="s">
        <v>439</v>
      </c>
      <c r="F12" s="20" t="s">
        <v>1144</v>
      </c>
      <c r="G12" s="20" t="s">
        <v>1145</v>
      </c>
      <c r="H12" s="20" t="s">
        <v>1088</v>
      </c>
      <c r="I12" s="20" t="s">
        <v>1146</v>
      </c>
      <c r="J12" s="20" t="s">
        <v>1064</v>
      </c>
    </row>
    <row r="13" spans="1:10" x14ac:dyDescent="0.45">
      <c r="A13" s="3" t="s">
        <v>1147</v>
      </c>
      <c r="B13" s="3" t="s">
        <v>204</v>
      </c>
      <c r="C13" s="3" t="s">
        <v>153</v>
      </c>
      <c r="D13" s="3" t="s">
        <v>1091</v>
      </c>
      <c r="E13" s="3" t="s">
        <v>439</v>
      </c>
      <c r="F13" s="3" t="s">
        <v>1148</v>
      </c>
      <c r="G13" s="3" t="s">
        <v>1145</v>
      </c>
      <c r="H13" s="3" t="s">
        <v>1093</v>
      </c>
      <c r="I13" s="3" t="s">
        <v>1149</v>
      </c>
      <c r="J13" s="3" t="s">
        <v>1054</v>
      </c>
    </row>
    <row r="14" spans="1:10" x14ac:dyDescent="0.45">
      <c r="A14" s="20" t="s">
        <v>1150</v>
      </c>
      <c r="B14" s="20" t="s">
        <v>205</v>
      </c>
      <c r="C14" s="20" t="s">
        <v>206</v>
      </c>
      <c r="D14" s="20" t="s">
        <v>1096</v>
      </c>
      <c r="E14" s="20" t="s">
        <v>433</v>
      </c>
      <c r="F14" s="20" t="s">
        <v>1097</v>
      </c>
      <c r="G14" s="20" t="s">
        <v>1151</v>
      </c>
      <c r="H14" s="20" t="s">
        <v>1152</v>
      </c>
      <c r="I14" s="20" t="s">
        <v>1153</v>
      </c>
      <c r="J14" s="20" t="s">
        <v>1064</v>
      </c>
    </row>
    <row r="15" spans="1:10" x14ac:dyDescent="0.45">
      <c r="A15" s="3" t="s">
        <v>1154</v>
      </c>
      <c r="B15" s="3" t="s">
        <v>205</v>
      </c>
      <c r="C15" s="3" t="s">
        <v>206</v>
      </c>
      <c r="D15" s="3" t="s">
        <v>1155</v>
      </c>
      <c r="E15" s="3" t="s">
        <v>419</v>
      </c>
      <c r="F15" s="3" t="s">
        <v>1156</v>
      </c>
      <c r="G15" s="3" t="s">
        <v>1157</v>
      </c>
      <c r="H15" s="3" t="s">
        <v>1158</v>
      </c>
      <c r="I15" s="3" t="s">
        <v>1159</v>
      </c>
      <c r="J15" s="3" t="s">
        <v>1054</v>
      </c>
    </row>
    <row r="16" spans="1:10" x14ac:dyDescent="0.45">
      <c r="A16" s="20" t="s">
        <v>1160</v>
      </c>
      <c r="B16" s="20" t="s">
        <v>209</v>
      </c>
      <c r="C16" s="20" t="s">
        <v>210</v>
      </c>
      <c r="D16" s="20" t="s">
        <v>1161</v>
      </c>
      <c r="E16" s="20" t="s">
        <v>419</v>
      </c>
      <c r="F16" s="20" t="s">
        <v>1162</v>
      </c>
      <c r="G16" s="20" t="s">
        <v>1163</v>
      </c>
      <c r="H16" s="20" t="s">
        <v>1164</v>
      </c>
      <c r="I16" s="20" t="s">
        <v>1165</v>
      </c>
      <c r="J16" s="20" t="s">
        <v>1064</v>
      </c>
    </row>
    <row r="17" spans="1:10" ht="25.5" x14ac:dyDescent="0.45">
      <c r="A17" s="3" t="s">
        <v>1166</v>
      </c>
      <c r="B17" s="3" t="s">
        <v>209</v>
      </c>
      <c r="C17" s="3" t="s">
        <v>210</v>
      </c>
      <c r="D17" s="3" t="s">
        <v>1167</v>
      </c>
      <c r="E17" s="3" t="s">
        <v>439</v>
      </c>
      <c r="F17" s="3" t="s">
        <v>1168</v>
      </c>
      <c r="G17" s="3" t="s">
        <v>1169</v>
      </c>
      <c r="H17" s="3" t="s">
        <v>1170</v>
      </c>
      <c r="I17" s="3" t="s">
        <v>1171</v>
      </c>
      <c r="J17" s="3" t="s">
        <v>1064</v>
      </c>
    </row>
    <row r="18" spans="1:10" ht="25.5" x14ac:dyDescent="0.45">
      <c r="A18" s="20" t="s">
        <v>1172</v>
      </c>
      <c r="B18" s="20" t="s">
        <v>213</v>
      </c>
      <c r="C18" s="20" t="s">
        <v>214</v>
      </c>
      <c r="D18" s="20" t="s">
        <v>1096</v>
      </c>
      <c r="E18" s="20" t="s">
        <v>433</v>
      </c>
      <c r="F18" s="20" t="s">
        <v>1173</v>
      </c>
      <c r="G18" s="20" t="s">
        <v>1174</v>
      </c>
      <c r="H18" s="20" t="s">
        <v>1175</v>
      </c>
      <c r="I18" s="20" t="s">
        <v>1176</v>
      </c>
      <c r="J18" s="20" t="s">
        <v>1054</v>
      </c>
    </row>
    <row r="19" spans="1:10" x14ac:dyDescent="0.45">
      <c r="A19" s="3" t="s">
        <v>1177</v>
      </c>
      <c r="B19" s="3" t="s">
        <v>213</v>
      </c>
      <c r="C19" s="3" t="s">
        <v>214</v>
      </c>
      <c r="D19" s="3" t="s">
        <v>1138</v>
      </c>
      <c r="E19" s="3" t="s">
        <v>439</v>
      </c>
      <c r="F19" s="3" t="s">
        <v>1178</v>
      </c>
      <c r="G19" s="3" t="s">
        <v>1179</v>
      </c>
      <c r="H19" s="3" t="s">
        <v>1180</v>
      </c>
      <c r="I19" s="3" t="s">
        <v>1181</v>
      </c>
      <c r="J19" s="3" t="s">
        <v>1054</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2"/>
  <sheetViews>
    <sheetView showGridLines="0" zoomScaleNormal="100" workbookViewId="0">
      <pane ySplit="1" topLeftCell="A2" activePane="bottomLeft" state="frozen"/>
      <selection pane="bottomLeft"/>
    </sheetView>
  </sheetViews>
  <sheetFormatPr defaultColWidth="8.59765625" defaultRowHeight="14.25" x14ac:dyDescent="0.45"/>
  <cols>
    <col min="1" max="2" width="10" customWidth="1"/>
    <col min="3" max="3" width="24" customWidth="1"/>
    <col min="4" max="4" width="22" customWidth="1"/>
    <col min="5" max="5" width="13" customWidth="1"/>
    <col min="6" max="6" width="58" customWidth="1"/>
    <col min="7" max="7" width="10" customWidth="1"/>
    <col min="8" max="8" width="26" customWidth="1"/>
    <col min="9" max="9" width="13" customWidth="1"/>
    <col min="10" max="10" width="20" customWidth="1"/>
  </cols>
  <sheetData>
    <row r="1" spans="1:10" ht="23.25" customHeight="1" x14ac:dyDescent="0.45">
      <c r="A1" s="15" t="s">
        <v>1182</v>
      </c>
      <c r="B1" s="15" t="s">
        <v>131</v>
      </c>
      <c r="C1" s="15" t="s">
        <v>132</v>
      </c>
      <c r="D1" s="15" t="s">
        <v>1183</v>
      </c>
      <c r="E1" s="15" t="s">
        <v>1184</v>
      </c>
      <c r="F1" s="15" t="s">
        <v>1185</v>
      </c>
      <c r="G1" s="15" t="s">
        <v>1186</v>
      </c>
      <c r="H1" s="15" t="s">
        <v>1187</v>
      </c>
      <c r="I1" s="15" t="s">
        <v>1188</v>
      </c>
      <c r="J1" s="15" t="s">
        <v>1189</v>
      </c>
    </row>
    <row r="2" spans="1:10" ht="45.75" customHeight="1" x14ac:dyDescent="0.45">
      <c r="A2" s="16" t="s">
        <v>1190</v>
      </c>
      <c r="B2" s="16" t="s">
        <v>152</v>
      </c>
      <c r="C2" s="16" t="s">
        <v>153</v>
      </c>
      <c r="D2" s="16" t="s">
        <v>1191</v>
      </c>
      <c r="E2" s="16" t="s">
        <v>383</v>
      </c>
      <c r="F2" s="17" t="s">
        <v>1192</v>
      </c>
      <c r="G2" s="16" t="s">
        <v>1064</v>
      </c>
      <c r="H2" s="16" t="s">
        <v>1193</v>
      </c>
      <c r="I2" s="29">
        <v>88</v>
      </c>
      <c r="J2" s="16" t="s">
        <v>1194</v>
      </c>
    </row>
    <row r="3" spans="1:10" ht="45.75" customHeight="1" x14ac:dyDescent="0.45">
      <c r="A3" s="18" t="s">
        <v>1195</v>
      </c>
      <c r="B3" s="18" t="s">
        <v>161</v>
      </c>
      <c r="C3" s="18" t="s">
        <v>162</v>
      </c>
      <c r="D3" s="18" t="s">
        <v>1196</v>
      </c>
      <c r="E3" s="18" t="s">
        <v>383</v>
      </c>
      <c r="F3" s="19" t="s">
        <v>1197</v>
      </c>
      <c r="G3" s="18" t="s">
        <v>1064</v>
      </c>
      <c r="H3" s="18" t="s">
        <v>1198</v>
      </c>
      <c r="I3" s="30">
        <v>85</v>
      </c>
      <c r="J3" s="18" t="s">
        <v>1194</v>
      </c>
    </row>
    <row r="4" spans="1:10" ht="34.5" customHeight="1" x14ac:dyDescent="0.45">
      <c r="A4" s="16" t="s">
        <v>1199</v>
      </c>
      <c r="B4" s="16" t="s">
        <v>142</v>
      </c>
      <c r="C4" s="16" t="s">
        <v>143</v>
      </c>
      <c r="D4" s="16" t="s">
        <v>1200</v>
      </c>
      <c r="E4" s="16" t="s">
        <v>383</v>
      </c>
      <c r="F4" s="17" t="s">
        <v>1201</v>
      </c>
      <c r="G4" s="16" t="s">
        <v>1054</v>
      </c>
      <c r="H4" s="16" t="s">
        <v>1202</v>
      </c>
      <c r="I4" s="29">
        <v>79</v>
      </c>
      <c r="J4" s="16" t="s">
        <v>1194</v>
      </c>
    </row>
    <row r="5" spans="1:10" ht="23.25" customHeight="1" x14ac:dyDescent="0.45">
      <c r="A5" s="18" t="s">
        <v>1203</v>
      </c>
      <c r="B5" s="18" t="s">
        <v>166</v>
      </c>
      <c r="C5" s="18" t="s">
        <v>167</v>
      </c>
      <c r="D5" s="18" t="s">
        <v>1204</v>
      </c>
      <c r="E5" s="18" t="s">
        <v>383</v>
      </c>
      <c r="F5" s="19" t="s">
        <v>1205</v>
      </c>
      <c r="G5" s="18" t="s">
        <v>1054</v>
      </c>
      <c r="H5" s="18" t="s">
        <v>1206</v>
      </c>
      <c r="I5" s="30">
        <v>72</v>
      </c>
      <c r="J5" s="18" t="s">
        <v>1194</v>
      </c>
    </row>
    <row r="6" spans="1:10" ht="45.75" customHeight="1" x14ac:dyDescent="0.45">
      <c r="A6" s="16" t="s">
        <v>1207</v>
      </c>
      <c r="B6" s="16" t="s">
        <v>171</v>
      </c>
      <c r="C6" s="16" t="s">
        <v>172</v>
      </c>
      <c r="D6" s="16" t="s">
        <v>1208</v>
      </c>
      <c r="E6" s="16" t="s">
        <v>383</v>
      </c>
      <c r="F6" s="17" t="s">
        <v>1209</v>
      </c>
      <c r="G6" s="16" t="s">
        <v>1054</v>
      </c>
      <c r="H6" s="16" t="s">
        <v>1210</v>
      </c>
      <c r="I6" s="29">
        <v>68</v>
      </c>
      <c r="J6" s="16" t="s">
        <v>1194</v>
      </c>
    </row>
    <row r="7" spans="1:10" ht="34.5" customHeight="1" x14ac:dyDescent="0.45">
      <c r="A7" s="18" t="s">
        <v>1211</v>
      </c>
      <c r="B7" s="18" t="s">
        <v>190</v>
      </c>
      <c r="C7" s="18" t="s">
        <v>191</v>
      </c>
      <c r="D7" s="18" t="s">
        <v>1212</v>
      </c>
      <c r="E7" s="18" t="s">
        <v>383</v>
      </c>
      <c r="F7" s="19" t="s">
        <v>1213</v>
      </c>
      <c r="G7" s="18" t="s">
        <v>1064</v>
      </c>
      <c r="H7" s="18" t="s">
        <v>1214</v>
      </c>
      <c r="I7" s="30">
        <v>81</v>
      </c>
      <c r="J7" s="18" t="s">
        <v>1194</v>
      </c>
    </row>
    <row r="8" spans="1:10" ht="38.25" x14ac:dyDescent="0.45">
      <c r="A8" s="20" t="s">
        <v>1215</v>
      </c>
      <c r="B8" s="20" t="s">
        <v>197</v>
      </c>
      <c r="C8" s="20" t="s">
        <v>198</v>
      </c>
      <c r="D8" s="20" t="s">
        <v>1200</v>
      </c>
      <c r="E8" s="20" t="s">
        <v>383</v>
      </c>
      <c r="F8" s="20" t="s">
        <v>1216</v>
      </c>
      <c r="G8" s="20" t="s">
        <v>1064</v>
      </c>
      <c r="H8" s="20" t="s">
        <v>1202</v>
      </c>
      <c r="I8" s="20">
        <v>83</v>
      </c>
      <c r="J8" s="20" t="s">
        <v>1194</v>
      </c>
    </row>
    <row r="9" spans="1:10" ht="38.25" x14ac:dyDescent="0.45">
      <c r="A9" s="3" t="s">
        <v>1217</v>
      </c>
      <c r="B9" s="3" t="s">
        <v>204</v>
      </c>
      <c r="C9" s="3" t="s">
        <v>153</v>
      </c>
      <c r="D9" s="3" t="s">
        <v>1191</v>
      </c>
      <c r="E9" s="3" t="s">
        <v>383</v>
      </c>
      <c r="F9" s="3" t="s">
        <v>1218</v>
      </c>
      <c r="G9" s="3" t="s">
        <v>1064</v>
      </c>
      <c r="H9" s="3" t="s">
        <v>1193</v>
      </c>
      <c r="I9" s="3">
        <v>82</v>
      </c>
      <c r="J9" s="3" t="s">
        <v>1194</v>
      </c>
    </row>
    <row r="10" spans="1:10" ht="38.25" x14ac:dyDescent="0.45">
      <c r="A10" s="20" t="s">
        <v>1219</v>
      </c>
      <c r="B10" s="20" t="s">
        <v>205</v>
      </c>
      <c r="C10" s="20" t="s">
        <v>206</v>
      </c>
      <c r="D10" s="20" t="s">
        <v>1196</v>
      </c>
      <c r="E10" s="20" t="s">
        <v>383</v>
      </c>
      <c r="F10" s="20" t="s">
        <v>1220</v>
      </c>
      <c r="G10" s="20" t="s">
        <v>1054</v>
      </c>
      <c r="H10" s="20" t="s">
        <v>1198</v>
      </c>
      <c r="I10" s="20">
        <v>71</v>
      </c>
      <c r="J10" s="20" t="s">
        <v>1194</v>
      </c>
    </row>
    <row r="11" spans="1:10" ht="38.25" x14ac:dyDescent="0.45">
      <c r="A11" s="3" t="s">
        <v>1221</v>
      </c>
      <c r="B11" s="3" t="s">
        <v>209</v>
      </c>
      <c r="C11" s="3" t="s">
        <v>210</v>
      </c>
      <c r="D11" s="3" t="s">
        <v>1222</v>
      </c>
      <c r="E11" s="3" t="s">
        <v>383</v>
      </c>
      <c r="F11" s="3" t="s">
        <v>1223</v>
      </c>
      <c r="G11" s="3" t="s">
        <v>1064</v>
      </c>
      <c r="H11" s="3" t="s">
        <v>1224</v>
      </c>
      <c r="I11" s="3">
        <v>80</v>
      </c>
      <c r="J11" s="3" t="s">
        <v>1194</v>
      </c>
    </row>
    <row r="12" spans="1:10" ht="38.25" x14ac:dyDescent="0.45">
      <c r="A12" s="20" t="s">
        <v>1225</v>
      </c>
      <c r="B12" s="20" t="s">
        <v>213</v>
      </c>
      <c r="C12" s="20" t="s">
        <v>214</v>
      </c>
      <c r="D12" s="20" t="s">
        <v>1200</v>
      </c>
      <c r="E12" s="20" t="s">
        <v>383</v>
      </c>
      <c r="F12" s="20" t="s">
        <v>1226</v>
      </c>
      <c r="G12" s="20" t="s">
        <v>1062</v>
      </c>
      <c r="H12" s="20" t="s">
        <v>396</v>
      </c>
      <c r="I12" s="20">
        <v>50</v>
      </c>
      <c r="J12" s="20" t="s">
        <v>1194</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18" customWidth="1"/>
    <col min="4" max="4" width="12" customWidth="1"/>
    <col min="5" max="5" width="22" customWidth="1"/>
    <col min="6" max="6" width="17" customWidth="1"/>
    <col min="7" max="7" width="22" customWidth="1"/>
    <col min="8" max="8" width="13" customWidth="1"/>
    <col min="9" max="9" width="20" customWidth="1"/>
    <col min="10" max="10" width="30" customWidth="1"/>
  </cols>
  <sheetData>
    <row r="1" spans="1:10" ht="23.25" customHeight="1" x14ac:dyDescent="0.45">
      <c r="A1" s="15" t="s">
        <v>131</v>
      </c>
      <c r="B1" s="15" t="s">
        <v>132</v>
      </c>
      <c r="C1" s="15" t="s">
        <v>1227</v>
      </c>
      <c r="D1" s="15" t="s">
        <v>1228</v>
      </c>
      <c r="E1" s="15" t="s">
        <v>1229</v>
      </c>
      <c r="F1" s="15" t="s">
        <v>1230</v>
      </c>
      <c r="G1" s="15" t="s">
        <v>1231</v>
      </c>
      <c r="H1" s="15" t="s">
        <v>1232</v>
      </c>
      <c r="I1" s="15" t="s">
        <v>1233</v>
      </c>
      <c r="J1" s="15" t="s">
        <v>1234</v>
      </c>
    </row>
    <row r="2" spans="1:10" ht="15" customHeight="1" x14ac:dyDescent="0.45">
      <c r="A2" s="16" t="s">
        <v>142</v>
      </c>
      <c r="B2" s="16" t="s">
        <v>143</v>
      </c>
      <c r="C2" s="16" t="s">
        <v>1235</v>
      </c>
      <c r="D2" s="16" t="s">
        <v>775</v>
      </c>
      <c r="E2" s="21">
        <v>42000</v>
      </c>
      <c r="F2" s="21">
        <v>18500</v>
      </c>
      <c r="G2" s="21">
        <v>1500</v>
      </c>
      <c r="H2" s="29">
        <v>12</v>
      </c>
      <c r="I2" s="21">
        <v>2100</v>
      </c>
      <c r="J2" s="17" t="s">
        <v>1236</v>
      </c>
    </row>
    <row r="3" spans="1:10" ht="15" customHeight="1" x14ac:dyDescent="0.45">
      <c r="A3" s="18" t="s">
        <v>152</v>
      </c>
      <c r="B3" s="18" t="s">
        <v>153</v>
      </c>
      <c r="C3" s="18" t="s">
        <v>1235</v>
      </c>
      <c r="D3" s="18" t="s">
        <v>775</v>
      </c>
      <c r="E3" s="24">
        <v>28300</v>
      </c>
      <c r="F3" s="24">
        <v>4200</v>
      </c>
      <c r="G3" s="24">
        <v>0</v>
      </c>
      <c r="H3" s="30">
        <v>38</v>
      </c>
      <c r="I3" s="24">
        <v>12000</v>
      </c>
      <c r="J3" s="19" t="s">
        <v>1236</v>
      </c>
    </row>
    <row r="4" spans="1:10" ht="15" customHeight="1" x14ac:dyDescent="0.45">
      <c r="A4" s="16" t="s">
        <v>161</v>
      </c>
      <c r="B4" s="16" t="s">
        <v>162</v>
      </c>
      <c r="C4" s="16" t="s">
        <v>1235</v>
      </c>
      <c r="D4" s="16" t="s">
        <v>775</v>
      </c>
      <c r="E4" s="21">
        <v>189500</v>
      </c>
      <c r="F4" s="21">
        <v>22000</v>
      </c>
      <c r="G4" s="21">
        <v>4800</v>
      </c>
      <c r="H4" s="29">
        <v>20</v>
      </c>
      <c r="I4" s="21">
        <v>15000</v>
      </c>
      <c r="J4" s="17" t="s">
        <v>1236</v>
      </c>
    </row>
    <row r="5" spans="1:10" ht="15" customHeight="1" x14ac:dyDescent="0.45">
      <c r="A5" s="18" t="s">
        <v>166</v>
      </c>
      <c r="B5" s="18" t="s">
        <v>167</v>
      </c>
      <c r="C5" s="18" t="s">
        <v>1235</v>
      </c>
      <c r="D5" s="18" t="s">
        <v>775</v>
      </c>
      <c r="E5" s="24">
        <v>34200</v>
      </c>
      <c r="F5" s="24">
        <v>10800</v>
      </c>
      <c r="G5" s="24">
        <v>900</v>
      </c>
      <c r="H5" s="30">
        <v>28</v>
      </c>
      <c r="I5" s="24">
        <v>7400</v>
      </c>
      <c r="J5" s="19" t="s">
        <v>1236</v>
      </c>
    </row>
    <row r="6" spans="1:10" ht="15" customHeight="1" x14ac:dyDescent="0.45">
      <c r="A6" s="16" t="s">
        <v>171</v>
      </c>
      <c r="B6" s="16" t="s">
        <v>172</v>
      </c>
      <c r="C6" s="16" t="s">
        <v>1235</v>
      </c>
      <c r="D6" s="16" t="s">
        <v>775</v>
      </c>
      <c r="E6" s="21">
        <v>22600</v>
      </c>
      <c r="F6" s="21">
        <v>9100</v>
      </c>
      <c r="G6" s="21">
        <v>1200</v>
      </c>
      <c r="H6" s="29">
        <v>5</v>
      </c>
      <c r="I6" s="21">
        <v>600</v>
      </c>
      <c r="J6" s="17" t="s">
        <v>1236</v>
      </c>
    </row>
    <row r="7" spans="1:10" ht="15" customHeight="1" x14ac:dyDescent="0.45">
      <c r="A7" s="18" t="s">
        <v>179</v>
      </c>
      <c r="B7" s="18" t="s">
        <v>180</v>
      </c>
      <c r="C7" s="18" t="s">
        <v>1235</v>
      </c>
      <c r="D7" s="18" t="s">
        <v>775</v>
      </c>
      <c r="E7" s="24">
        <v>18200</v>
      </c>
      <c r="F7" s="24">
        <v>7300</v>
      </c>
      <c r="G7" s="24">
        <v>850</v>
      </c>
      <c r="H7" s="30">
        <v>25</v>
      </c>
      <c r="I7" s="24">
        <v>5200</v>
      </c>
      <c r="J7" s="19" t="s">
        <v>1236</v>
      </c>
    </row>
    <row r="8" spans="1:10" ht="15" customHeight="1" x14ac:dyDescent="0.45">
      <c r="A8" s="16" t="s">
        <v>184</v>
      </c>
      <c r="B8" s="16" t="s">
        <v>185</v>
      </c>
      <c r="C8" s="16" t="s">
        <v>1235</v>
      </c>
      <c r="D8" s="16" t="s">
        <v>775</v>
      </c>
      <c r="E8" s="21">
        <v>30100</v>
      </c>
      <c r="F8" s="21">
        <v>15200</v>
      </c>
      <c r="G8" s="21">
        <v>1300</v>
      </c>
      <c r="H8" s="29">
        <v>18</v>
      </c>
      <c r="I8" s="21">
        <v>4100</v>
      </c>
      <c r="J8" s="17" t="s">
        <v>1236</v>
      </c>
    </row>
    <row r="9" spans="1:10" ht="15" customHeight="1" x14ac:dyDescent="0.45">
      <c r="A9" s="18" t="s">
        <v>190</v>
      </c>
      <c r="B9" s="18" t="s">
        <v>191</v>
      </c>
      <c r="C9" s="18" t="s">
        <v>1235</v>
      </c>
      <c r="D9" s="18" t="s">
        <v>775</v>
      </c>
      <c r="E9" s="24">
        <v>48700</v>
      </c>
      <c r="F9" s="24">
        <v>16400</v>
      </c>
      <c r="G9" s="24">
        <v>1600</v>
      </c>
      <c r="H9" s="30">
        <v>45</v>
      </c>
      <c r="I9" s="24">
        <v>21000</v>
      </c>
      <c r="J9" s="19" t="s">
        <v>1236</v>
      </c>
    </row>
    <row r="10" spans="1:10" x14ac:dyDescent="0.45">
      <c r="A10" s="20" t="s">
        <v>197</v>
      </c>
      <c r="B10" s="20" t="s">
        <v>198</v>
      </c>
      <c r="C10" s="20" t="s">
        <v>1235</v>
      </c>
      <c r="D10" s="20" t="s">
        <v>775</v>
      </c>
      <c r="E10" s="20">
        <v>95000</v>
      </c>
      <c r="F10" s="20">
        <v>61000</v>
      </c>
      <c r="G10" s="20">
        <v>10127</v>
      </c>
      <c r="H10" s="20">
        <v>5</v>
      </c>
      <c r="I10" s="20">
        <v>4000</v>
      </c>
      <c r="J10" s="20" t="s">
        <v>1236</v>
      </c>
    </row>
    <row r="11" spans="1:10" x14ac:dyDescent="0.45">
      <c r="A11" s="3" t="s">
        <v>204</v>
      </c>
      <c r="B11" s="3" t="s">
        <v>153</v>
      </c>
      <c r="C11" s="3" t="s">
        <v>1235</v>
      </c>
      <c r="D11" s="3" t="s">
        <v>775</v>
      </c>
      <c r="E11" s="3">
        <v>28300</v>
      </c>
      <c r="F11" s="3">
        <v>4200</v>
      </c>
      <c r="G11" s="3">
        <v>0</v>
      </c>
      <c r="H11" s="3">
        <v>38</v>
      </c>
      <c r="I11" s="3">
        <v>12000</v>
      </c>
      <c r="J11" s="3" t="s">
        <v>1236</v>
      </c>
    </row>
    <row r="12" spans="1:10" x14ac:dyDescent="0.45">
      <c r="A12" s="20" t="s">
        <v>205</v>
      </c>
      <c r="B12" s="20" t="s">
        <v>206</v>
      </c>
      <c r="C12" s="20" t="s">
        <v>1235</v>
      </c>
      <c r="D12" s="20" t="s">
        <v>775</v>
      </c>
      <c r="E12" s="20">
        <v>65000</v>
      </c>
      <c r="F12" s="20">
        <v>20000</v>
      </c>
      <c r="G12" s="20">
        <v>3000</v>
      </c>
      <c r="H12" s="20">
        <v>25</v>
      </c>
      <c r="I12" s="20">
        <v>9000</v>
      </c>
      <c r="J12" s="20" t="s">
        <v>1236</v>
      </c>
    </row>
    <row r="13" spans="1:10" x14ac:dyDescent="0.45">
      <c r="A13" s="3" t="s">
        <v>209</v>
      </c>
      <c r="B13" s="3" t="s">
        <v>210</v>
      </c>
      <c r="C13" s="3" t="s">
        <v>1235</v>
      </c>
      <c r="D13" s="3" t="s">
        <v>775</v>
      </c>
      <c r="E13" s="3">
        <v>38000</v>
      </c>
      <c r="F13" s="3">
        <v>9000</v>
      </c>
      <c r="G13" s="3">
        <v>2500</v>
      </c>
      <c r="H13" s="3">
        <v>22</v>
      </c>
      <c r="I13" s="3">
        <v>5300</v>
      </c>
      <c r="J13" s="3" t="s">
        <v>1236</v>
      </c>
    </row>
    <row r="14" spans="1:10" x14ac:dyDescent="0.45">
      <c r="A14" s="20" t="s">
        <v>213</v>
      </c>
      <c r="B14" s="20" t="s">
        <v>214</v>
      </c>
      <c r="C14" s="20" t="s">
        <v>1235</v>
      </c>
      <c r="D14" s="20" t="s">
        <v>775</v>
      </c>
      <c r="E14" s="20">
        <v>47000</v>
      </c>
      <c r="F14" s="20">
        <v>33640</v>
      </c>
      <c r="G14" s="20">
        <v>4000</v>
      </c>
      <c r="H14" s="20">
        <v>45</v>
      </c>
      <c r="I14" s="20">
        <v>2000</v>
      </c>
      <c r="J14" s="20" t="s">
        <v>1236</v>
      </c>
    </row>
  </sheetData>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2"/>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1" customWidth="1"/>
    <col min="2" max="2" width="10" customWidth="1"/>
    <col min="3" max="3" width="24" customWidth="1"/>
    <col min="4" max="4" width="12" customWidth="1"/>
    <col min="5" max="5" width="44" customWidth="1"/>
    <col min="6" max="6" width="14" customWidth="1"/>
    <col min="7" max="7" width="10" customWidth="1"/>
    <col min="8" max="8" width="15" customWidth="1"/>
    <col min="9" max="9" width="22" customWidth="1"/>
  </cols>
  <sheetData>
    <row r="1" spans="1:9" ht="23.25" customHeight="1" x14ac:dyDescent="0.45">
      <c r="A1" s="15" t="s">
        <v>1237</v>
      </c>
      <c r="B1" s="15" t="s">
        <v>131</v>
      </c>
      <c r="C1" s="15" t="s">
        <v>132</v>
      </c>
      <c r="D1" s="15" t="s">
        <v>1238</v>
      </c>
      <c r="E1" s="15" t="s">
        <v>1239</v>
      </c>
      <c r="F1" s="15" t="s">
        <v>1240</v>
      </c>
      <c r="G1" s="15" t="s">
        <v>1241</v>
      </c>
      <c r="H1" s="15" t="s">
        <v>1242</v>
      </c>
      <c r="I1" s="15" t="s">
        <v>1234</v>
      </c>
    </row>
    <row r="2" spans="1:9" ht="15" customHeight="1" x14ac:dyDescent="0.45">
      <c r="A2" s="16" t="s">
        <v>1243</v>
      </c>
      <c r="B2" s="16" t="s">
        <v>152</v>
      </c>
      <c r="C2" s="16" t="s">
        <v>153</v>
      </c>
      <c r="D2" s="16" t="s">
        <v>764</v>
      </c>
      <c r="E2" s="17" t="s">
        <v>1244</v>
      </c>
      <c r="F2" s="16" t="s">
        <v>1245</v>
      </c>
      <c r="G2" s="16" t="s">
        <v>1246</v>
      </c>
      <c r="H2" s="23">
        <v>0.9</v>
      </c>
      <c r="I2" s="16" t="s">
        <v>1247</v>
      </c>
    </row>
    <row r="3" spans="1:9" ht="15" customHeight="1" x14ac:dyDescent="0.45">
      <c r="A3" s="18" t="s">
        <v>1248</v>
      </c>
      <c r="B3" s="18" t="s">
        <v>152</v>
      </c>
      <c r="C3" s="18" t="s">
        <v>153</v>
      </c>
      <c r="D3" s="18" t="s">
        <v>255</v>
      </c>
      <c r="E3" s="19" t="s">
        <v>1249</v>
      </c>
      <c r="F3" s="18" t="s">
        <v>1250</v>
      </c>
      <c r="G3" s="18" t="s">
        <v>1246</v>
      </c>
      <c r="H3" s="26">
        <v>0.85</v>
      </c>
      <c r="I3" s="18" t="s">
        <v>1247</v>
      </c>
    </row>
    <row r="4" spans="1:9" ht="15" customHeight="1" x14ac:dyDescent="0.45">
      <c r="A4" s="16" t="s">
        <v>1251</v>
      </c>
      <c r="B4" s="16" t="s">
        <v>161</v>
      </c>
      <c r="C4" s="16" t="s">
        <v>162</v>
      </c>
      <c r="D4" s="16" t="s">
        <v>325</v>
      </c>
      <c r="E4" s="17" t="s">
        <v>1252</v>
      </c>
      <c r="F4" s="16" t="s">
        <v>1253</v>
      </c>
      <c r="G4" s="16" t="s">
        <v>1254</v>
      </c>
      <c r="H4" s="23">
        <v>0.8</v>
      </c>
      <c r="I4" s="16" t="s">
        <v>1247</v>
      </c>
    </row>
    <row r="5" spans="1:9" ht="15" customHeight="1" x14ac:dyDescent="0.45">
      <c r="A5" s="18" t="s">
        <v>1255</v>
      </c>
      <c r="B5" s="18" t="s">
        <v>142</v>
      </c>
      <c r="C5" s="18" t="s">
        <v>143</v>
      </c>
      <c r="D5" s="18" t="s">
        <v>383</v>
      </c>
      <c r="E5" s="19" t="s">
        <v>1256</v>
      </c>
      <c r="F5" s="18" t="s">
        <v>1253</v>
      </c>
      <c r="G5" s="18" t="s">
        <v>1254</v>
      </c>
      <c r="H5" s="26">
        <v>0.88</v>
      </c>
      <c r="I5" s="18" t="s">
        <v>1247</v>
      </c>
    </row>
    <row r="6" spans="1:9" ht="15" customHeight="1" x14ac:dyDescent="0.45">
      <c r="A6" s="16" t="s">
        <v>1257</v>
      </c>
      <c r="B6" s="16" t="s">
        <v>142</v>
      </c>
      <c r="C6" s="16" t="s">
        <v>143</v>
      </c>
      <c r="D6" s="16" t="s">
        <v>1258</v>
      </c>
      <c r="E6" s="17" t="s">
        <v>1259</v>
      </c>
      <c r="F6" s="16" t="s">
        <v>1260</v>
      </c>
      <c r="G6" s="16" t="s">
        <v>1246</v>
      </c>
      <c r="H6" s="23">
        <v>0.82</v>
      </c>
      <c r="I6" s="16" t="s">
        <v>1247</v>
      </c>
    </row>
    <row r="7" spans="1:9" ht="23.25" customHeight="1" x14ac:dyDescent="0.45">
      <c r="A7" s="18" t="s">
        <v>1261</v>
      </c>
      <c r="B7" s="18" t="s">
        <v>166</v>
      </c>
      <c r="C7" s="18" t="s">
        <v>167</v>
      </c>
      <c r="D7" s="18" t="s">
        <v>305</v>
      </c>
      <c r="E7" s="19" t="s">
        <v>1262</v>
      </c>
      <c r="F7" s="18" t="s">
        <v>1263</v>
      </c>
      <c r="G7" s="18" t="s">
        <v>1246</v>
      </c>
      <c r="H7" s="26">
        <v>0.75</v>
      </c>
      <c r="I7" s="18" t="s">
        <v>1247</v>
      </c>
    </row>
    <row r="8" spans="1:9" ht="15" customHeight="1" x14ac:dyDescent="0.45">
      <c r="A8" s="16" t="s">
        <v>1264</v>
      </c>
      <c r="B8" s="16" t="s">
        <v>166</v>
      </c>
      <c r="C8" s="16" t="s">
        <v>167</v>
      </c>
      <c r="D8" s="16" t="s">
        <v>349</v>
      </c>
      <c r="E8" s="17" t="s">
        <v>1265</v>
      </c>
      <c r="F8" s="16" t="s">
        <v>1266</v>
      </c>
      <c r="G8" s="16" t="s">
        <v>1254</v>
      </c>
      <c r="H8" s="23">
        <v>0.6</v>
      </c>
      <c r="I8" s="16" t="s">
        <v>1247</v>
      </c>
    </row>
    <row r="9" spans="1:9" ht="15" customHeight="1" x14ac:dyDescent="0.45">
      <c r="A9" s="18" t="s">
        <v>1267</v>
      </c>
      <c r="B9" s="18" t="s">
        <v>171</v>
      </c>
      <c r="C9" s="18" t="s">
        <v>172</v>
      </c>
      <c r="D9" s="18" t="s">
        <v>1268</v>
      </c>
      <c r="E9" s="19" t="s">
        <v>1269</v>
      </c>
      <c r="F9" s="18" t="s">
        <v>1270</v>
      </c>
      <c r="G9" s="18" t="s">
        <v>1246</v>
      </c>
      <c r="H9" s="26">
        <v>0.7</v>
      </c>
      <c r="I9" s="18" t="s">
        <v>1247</v>
      </c>
    </row>
    <row r="10" spans="1:9" ht="15" customHeight="1" x14ac:dyDescent="0.45">
      <c r="A10" s="16" t="s">
        <v>1271</v>
      </c>
      <c r="B10" s="16" t="s">
        <v>190</v>
      </c>
      <c r="C10" s="16" t="s">
        <v>191</v>
      </c>
      <c r="D10" s="16" t="s">
        <v>531</v>
      </c>
      <c r="E10" s="17" t="s">
        <v>1272</v>
      </c>
      <c r="F10" s="16" t="s">
        <v>1273</v>
      </c>
      <c r="G10" s="16" t="s">
        <v>1254</v>
      </c>
      <c r="H10" s="23">
        <v>0.83</v>
      </c>
      <c r="I10" s="16" t="s">
        <v>1247</v>
      </c>
    </row>
    <row r="11" spans="1:9" ht="15" customHeight="1" x14ac:dyDescent="0.45">
      <c r="A11" s="18" t="s">
        <v>1274</v>
      </c>
      <c r="B11" s="18" t="s">
        <v>184</v>
      </c>
      <c r="C11" s="18" t="s">
        <v>185</v>
      </c>
      <c r="D11" s="18" t="s">
        <v>255</v>
      </c>
      <c r="E11" s="19" t="s">
        <v>1275</v>
      </c>
      <c r="F11" s="18" t="s">
        <v>1250</v>
      </c>
      <c r="G11" s="18" t="s">
        <v>1246</v>
      </c>
      <c r="H11" s="26">
        <v>0.65</v>
      </c>
      <c r="I11" s="18" t="s">
        <v>1247</v>
      </c>
    </row>
    <row r="12" spans="1:9" ht="15" customHeight="1" x14ac:dyDescent="0.45">
      <c r="A12" s="16" t="s">
        <v>1276</v>
      </c>
      <c r="B12" s="16" t="s">
        <v>161</v>
      </c>
      <c r="C12" s="16" t="s">
        <v>162</v>
      </c>
      <c r="D12" s="16" t="s">
        <v>1277</v>
      </c>
      <c r="E12" s="17" t="s">
        <v>1278</v>
      </c>
      <c r="F12" s="16" t="s">
        <v>1266</v>
      </c>
      <c r="G12" s="16" t="s">
        <v>1254</v>
      </c>
      <c r="H12" s="23">
        <v>0.78</v>
      </c>
      <c r="I12" s="16" t="s">
        <v>1247</v>
      </c>
    </row>
    <row r="13" spans="1:9" ht="25.5" x14ac:dyDescent="0.45">
      <c r="A13" s="3" t="s">
        <v>1279</v>
      </c>
      <c r="B13" s="3" t="s">
        <v>197</v>
      </c>
      <c r="C13" s="3" t="s">
        <v>198</v>
      </c>
      <c r="D13" s="3" t="s">
        <v>319</v>
      </c>
      <c r="E13" s="3" t="s">
        <v>1280</v>
      </c>
      <c r="F13" s="3" t="s">
        <v>1253</v>
      </c>
      <c r="G13" s="3" t="s">
        <v>1254</v>
      </c>
      <c r="H13" s="3">
        <v>0.9</v>
      </c>
      <c r="I13" s="3" t="s">
        <v>1247</v>
      </c>
    </row>
    <row r="14" spans="1:9" x14ac:dyDescent="0.45">
      <c r="A14" s="20" t="s">
        <v>1281</v>
      </c>
      <c r="B14" s="20" t="s">
        <v>197</v>
      </c>
      <c r="C14" s="20" t="s">
        <v>198</v>
      </c>
      <c r="D14" s="20" t="s">
        <v>296</v>
      </c>
      <c r="E14" s="20" t="s">
        <v>1282</v>
      </c>
      <c r="F14" s="20" t="s">
        <v>1253</v>
      </c>
      <c r="G14" s="20" t="s">
        <v>1254</v>
      </c>
      <c r="H14" s="20">
        <v>0.85</v>
      </c>
      <c r="I14" s="20" t="s">
        <v>1247</v>
      </c>
    </row>
    <row r="15" spans="1:9" ht="25.5" x14ac:dyDescent="0.45">
      <c r="A15" s="3" t="s">
        <v>1283</v>
      </c>
      <c r="B15" s="3" t="s">
        <v>204</v>
      </c>
      <c r="C15" s="3" t="s">
        <v>153</v>
      </c>
      <c r="D15" s="3" t="s">
        <v>764</v>
      </c>
      <c r="E15" s="3" t="s">
        <v>1284</v>
      </c>
      <c r="F15" s="3" t="s">
        <v>1245</v>
      </c>
      <c r="G15" s="3" t="s">
        <v>1246</v>
      </c>
      <c r="H15" s="3">
        <v>0.9</v>
      </c>
      <c r="I15" s="3" t="s">
        <v>1247</v>
      </c>
    </row>
    <row r="16" spans="1:9" x14ac:dyDescent="0.45">
      <c r="A16" s="20" t="s">
        <v>1285</v>
      </c>
      <c r="B16" s="20" t="s">
        <v>204</v>
      </c>
      <c r="C16" s="20" t="s">
        <v>153</v>
      </c>
      <c r="D16" s="20" t="s">
        <v>343</v>
      </c>
      <c r="E16" s="20" t="s">
        <v>1286</v>
      </c>
      <c r="F16" s="20" t="s">
        <v>1250</v>
      </c>
      <c r="G16" s="20" t="s">
        <v>1246</v>
      </c>
      <c r="H16" s="20">
        <v>0.85</v>
      </c>
      <c r="I16" s="20" t="s">
        <v>1247</v>
      </c>
    </row>
    <row r="17" spans="1:9" ht="25.5" x14ac:dyDescent="0.45">
      <c r="A17" s="3" t="s">
        <v>1287</v>
      </c>
      <c r="B17" s="3" t="s">
        <v>205</v>
      </c>
      <c r="C17" s="3" t="s">
        <v>206</v>
      </c>
      <c r="D17" s="3" t="s">
        <v>245</v>
      </c>
      <c r="E17" s="3" t="s">
        <v>1288</v>
      </c>
      <c r="F17" s="3" t="s">
        <v>1289</v>
      </c>
      <c r="G17" s="3" t="s">
        <v>1254</v>
      </c>
      <c r="H17" s="3">
        <v>0.8</v>
      </c>
      <c r="I17" s="3" t="s">
        <v>1247</v>
      </c>
    </row>
    <row r="18" spans="1:9" ht="25.5" x14ac:dyDescent="0.45">
      <c r="A18" s="20" t="s">
        <v>1290</v>
      </c>
      <c r="B18" s="20" t="s">
        <v>205</v>
      </c>
      <c r="C18" s="20" t="s">
        <v>206</v>
      </c>
      <c r="D18" s="20" t="s">
        <v>247</v>
      </c>
      <c r="E18" s="20" t="s">
        <v>1291</v>
      </c>
      <c r="F18" s="20" t="s">
        <v>1263</v>
      </c>
      <c r="G18" s="20" t="s">
        <v>1292</v>
      </c>
      <c r="H18" s="20">
        <v>0.75</v>
      </c>
      <c r="I18" s="20" t="s">
        <v>1247</v>
      </c>
    </row>
    <row r="19" spans="1:9" x14ac:dyDescent="0.45">
      <c r="A19" s="3" t="s">
        <v>1293</v>
      </c>
      <c r="B19" s="3" t="s">
        <v>209</v>
      </c>
      <c r="C19" s="3" t="s">
        <v>210</v>
      </c>
      <c r="D19" s="3" t="s">
        <v>363</v>
      </c>
      <c r="E19" s="3" t="s">
        <v>1294</v>
      </c>
      <c r="F19" s="3" t="s">
        <v>1295</v>
      </c>
      <c r="G19" s="3" t="s">
        <v>1292</v>
      </c>
      <c r="H19" s="3">
        <v>0.9</v>
      </c>
      <c r="I19" s="3" t="s">
        <v>1247</v>
      </c>
    </row>
    <row r="20" spans="1:9" x14ac:dyDescent="0.45">
      <c r="A20" s="20" t="s">
        <v>1296</v>
      </c>
      <c r="B20" s="20" t="s">
        <v>209</v>
      </c>
      <c r="C20" s="20" t="s">
        <v>210</v>
      </c>
      <c r="D20" s="20" t="s">
        <v>1268</v>
      </c>
      <c r="E20" s="20" t="s">
        <v>1297</v>
      </c>
      <c r="F20" s="20" t="s">
        <v>1273</v>
      </c>
      <c r="G20" s="20" t="s">
        <v>1254</v>
      </c>
      <c r="H20" s="20">
        <v>0.85</v>
      </c>
      <c r="I20" s="20" t="s">
        <v>1247</v>
      </c>
    </row>
    <row r="21" spans="1:9" ht="25.5" x14ac:dyDescent="0.45">
      <c r="A21" s="3" t="s">
        <v>1298</v>
      </c>
      <c r="B21" s="3" t="s">
        <v>213</v>
      </c>
      <c r="C21" s="3" t="s">
        <v>214</v>
      </c>
      <c r="D21" s="3" t="s">
        <v>1299</v>
      </c>
      <c r="E21" s="3" t="s">
        <v>1300</v>
      </c>
      <c r="F21" s="3" t="s">
        <v>1301</v>
      </c>
      <c r="G21" s="3" t="s">
        <v>1246</v>
      </c>
      <c r="H21" s="3">
        <v>0.9</v>
      </c>
      <c r="I21" s="3" t="s">
        <v>1247</v>
      </c>
    </row>
    <row r="22" spans="1:9" x14ac:dyDescent="0.45">
      <c r="A22" s="20" t="s">
        <v>1302</v>
      </c>
      <c r="B22" s="20" t="s">
        <v>213</v>
      </c>
      <c r="C22" s="20" t="s">
        <v>214</v>
      </c>
      <c r="D22" s="20" t="s">
        <v>1303</v>
      </c>
      <c r="E22" s="20" t="s">
        <v>1304</v>
      </c>
      <c r="F22" s="20" t="s">
        <v>1253</v>
      </c>
      <c r="G22" s="20" t="s">
        <v>1254</v>
      </c>
      <c r="H22" s="20">
        <v>0.8</v>
      </c>
      <c r="I22" s="20" t="s">
        <v>1247</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6"/>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1" customWidth="1"/>
    <col min="2" max="2" width="10" customWidth="1"/>
    <col min="3" max="3" width="24" customWidth="1"/>
    <col min="4" max="4" width="13" customWidth="1"/>
    <col min="5" max="5" width="12" customWidth="1"/>
    <col min="6" max="6" width="15" customWidth="1"/>
    <col min="7" max="7" width="11" customWidth="1"/>
    <col min="8" max="8" width="10" customWidth="1"/>
    <col min="9" max="9" width="20" customWidth="1"/>
    <col min="10" max="10" width="15" customWidth="1"/>
  </cols>
  <sheetData>
    <row r="1" spans="1:10" ht="23.25" customHeight="1" x14ac:dyDescent="0.45">
      <c r="A1" s="15" t="s">
        <v>1305</v>
      </c>
      <c r="B1" s="15" t="s">
        <v>131</v>
      </c>
      <c r="C1" s="15" t="s">
        <v>132</v>
      </c>
      <c r="D1" s="15" t="s">
        <v>1306</v>
      </c>
      <c r="E1" s="15" t="s">
        <v>1307</v>
      </c>
      <c r="F1" s="15" t="s">
        <v>1308</v>
      </c>
      <c r="G1" s="15" t="s">
        <v>1309</v>
      </c>
      <c r="H1" s="15" t="s">
        <v>1310</v>
      </c>
      <c r="I1" s="15" t="s">
        <v>1311</v>
      </c>
      <c r="J1" s="15" t="s">
        <v>1312</v>
      </c>
    </row>
    <row r="2" spans="1:10" ht="15" customHeight="1" x14ac:dyDescent="0.45">
      <c r="A2" s="16" t="s">
        <v>1313</v>
      </c>
      <c r="B2" s="16" t="s">
        <v>142</v>
      </c>
      <c r="C2" s="16" t="s">
        <v>143</v>
      </c>
      <c r="D2" s="16" t="s">
        <v>1314</v>
      </c>
      <c r="E2" s="16" t="s">
        <v>525</v>
      </c>
      <c r="F2" s="21">
        <v>750</v>
      </c>
      <c r="G2" s="16">
        <v>3.9</v>
      </c>
      <c r="H2" s="16" t="s">
        <v>1315</v>
      </c>
      <c r="I2" s="17" t="s">
        <v>1316</v>
      </c>
      <c r="J2" s="16" t="s">
        <v>302</v>
      </c>
    </row>
    <row r="3" spans="1:10" ht="15" customHeight="1" x14ac:dyDescent="0.45">
      <c r="A3" s="18" t="s">
        <v>1317</v>
      </c>
      <c r="B3" s="18" t="s">
        <v>142</v>
      </c>
      <c r="C3" s="18" t="s">
        <v>143</v>
      </c>
      <c r="D3" s="18" t="s">
        <v>1314</v>
      </c>
      <c r="E3" s="18" t="s">
        <v>1318</v>
      </c>
      <c r="F3" s="24">
        <v>1500</v>
      </c>
      <c r="G3" s="18">
        <v>1.75</v>
      </c>
      <c r="H3" s="18" t="s">
        <v>1319</v>
      </c>
      <c r="I3" s="19" t="s">
        <v>1320</v>
      </c>
      <c r="J3" s="18" t="s">
        <v>229</v>
      </c>
    </row>
    <row r="4" spans="1:10" ht="15" customHeight="1" x14ac:dyDescent="0.45">
      <c r="A4" s="16" t="s">
        <v>1321</v>
      </c>
      <c r="B4" s="16" t="s">
        <v>161</v>
      </c>
      <c r="C4" s="16" t="s">
        <v>162</v>
      </c>
      <c r="D4" s="16" t="s">
        <v>1322</v>
      </c>
      <c r="E4" s="16" t="s">
        <v>1323</v>
      </c>
      <c r="F4" s="21">
        <v>2000</v>
      </c>
      <c r="G4" s="16" t="s">
        <v>1324</v>
      </c>
      <c r="H4" s="16" t="s">
        <v>1325</v>
      </c>
      <c r="I4" s="17" t="s">
        <v>1326</v>
      </c>
      <c r="J4" s="16" t="s">
        <v>302</v>
      </c>
    </row>
    <row r="5" spans="1:10" ht="15" customHeight="1" x14ac:dyDescent="0.45">
      <c r="A5" s="18" t="s">
        <v>1327</v>
      </c>
      <c r="B5" s="18" t="s">
        <v>161</v>
      </c>
      <c r="C5" s="18" t="s">
        <v>162</v>
      </c>
      <c r="D5" s="18" t="s">
        <v>1314</v>
      </c>
      <c r="E5" s="18" t="s">
        <v>751</v>
      </c>
      <c r="F5" s="24">
        <v>1250</v>
      </c>
      <c r="G5" s="18">
        <v>4.2</v>
      </c>
      <c r="H5" s="18" t="s">
        <v>1328</v>
      </c>
      <c r="I5" s="19" t="s">
        <v>1329</v>
      </c>
      <c r="J5" s="18" t="s">
        <v>229</v>
      </c>
    </row>
    <row r="6" spans="1:10" ht="15" customHeight="1" x14ac:dyDescent="0.45">
      <c r="A6" s="16" t="s">
        <v>1330</v>
      </c>
      <c r="B6" s="16" t="s">
        <v>152</v>
      </c>
      <c r="C6" s="16" t="s">
        <v>153</v>
      </c>
      <c r="D6" s="16" t="s">
        <v>1331</v>
      </c>
      <c r="E6" s="16" t="s">
        <v>914</v>
      </c>
      <c r="F6" s="21">
        <v>2000</v>
      </c>
      <c r="G6" s="16" t="s">
        <v>1324</v>
      </c>
      <c r="H6" s="16" t="s">
        <v>1319</v>
      </c>
      <c r="I6" s="17" t="s">
        <v>1332</v>
      </c>
      <c r="J6" s="16" t="s">
        <v>302</v>
      </c>
    </row>
    <row r="7" spans="1:10" ht="15" customHeight="1" x14ac:dyDescent="0.45">
      <c r="A7" s="18" t="s">
        <v>1333</v>
      </c>
      <c r="B7" s="18" t="s">
        <v>190</v>
      </c>
      <c r="C7" s="18" t="s">
        <v>191</v>
      </c>
      <c r="D7" s="18" t="s">
        <v>1334</v>
      </c>
      <c r="E7" s="18" t="s">
        <v>1335</v>
      </c>
      <c r="F7" s="24">
        <v>1000</v>
      </c>
      <c r="G7" s="18">
        <v>4</v>
      </c>
      <c r="H7" s="18" t="s">
        <v>1336</v>
      </c>
      <c r="I7" s="19" t="s">
        <v>1337</v>
      </c>
      <c r="J7" s="18" t="s">
        <v>302</v>
      </c>
    </row>
    <row r="8" spans="1:10" ht="15" customHeight="1" x14ac:dyDescent="0.45">
      <c r="A8" s="16" t="s">
        <v>1338</v>
      </c>
      <c r="B8" s="16" t="s">
        <v>166</v>
      </c>
      <c r="C8" s="16" t="s">
        <v>167</v>
      </c>
      <c r="D8" s="16" t="s">
        <v>1314</v>
      </c>
      <c r="E8" s="16" t="s">
        <v>1339</v>
      </c>
      <c r="F8" s="21">
        <v>1500</v>
      </c>
      <c r="G8" s="16">
        <v>3.5</v>
      </c>
      <c r="H8" s="16" t="s">
        <v>1319</v>
      </c>
      <c r="I8" s="17" t="s">
        <v>1340</v>
      </c>
      <c r="J8" s="16" t="s">
        <v>229</v>
      </c>
    </row>
    <row r="9" spans="1:10" ht="15" customHeight="1" x14ac:dyDescent="0.45">
      <c r="A9" s="18" t="s">
        <v>1341</v>
      </c>
      <c r="B9" s="18" t="s">
        <v>171</v>
      </c>
      <c r="C9" s="18" t="s">
        <v>172</v>
      </c>
      <c r="D9" s="18" t="s">
        <v>1342</v>
      </c>
      <c r="E9" s="18" t="s">
        <v>1343</v>
      </c>
      <c r="F9" s="24">
        <v>600</v>
      </c>
      <c r="G9" s="18" t="s">
        <v>1324</v>
      </c>
      <c r="H9" s="18" t="s">
        <v>1325</v>
      </c>
      <c r="I9" s="19" t="s">
        <v>1344</v>
      </c>
      <c r="J9" s="18" t="s">
        <v>229</v>
      </c>
    </row>
    <row r="10" spans="1:10" x14ac:dyDescent="0.45">
      <c r="A10" s="20" t="s">
        <v>1345</v>
      </c>
      <c r="B10" s="20" t="s">
        <v>197</v>
      </c>
      <c r="C10" s="20" t="s">
        <v>198</v>
      </c>
      <c r="D10" s="20" t="s">
        <v>1314</v>
      </c>
      <c r="E10" s="20" t="s">
        <v>525</v>
      </c>
      <c r="F10" s="20">
        <v>1000</v>
      </c>
      <c r="G10" s="20">
        <v>3.7</v>
      </c>
      <c r="H10" s="20" t="s">
        <v>1315</v>
      </c>
      <c r="I10" s="20" t="s">
        <v>1316</v>
      </c>
      <c r="J10" s="20" t="s">
        <v>302</v>
      </c>
    </row>
    <row r="11" spans="1:10" x14ac:dyDescent="0.45">
      <c r="A11" s="3" t="s">
        <v>1346</v>
      </c>
      <c r="B11" s="3" t="s">
        <v>197</v>
      </c>
      <c r="C11" s="3" t="s">
        <v>198</v>
      </c>
      <c r="D11" s="3" t="s">
        <v>1314</v>
      </c>
      <c r="E11" s="3" t="s">
        <v>896</v>
      </c>
      <c r="F11" s="3">
        <v>3000</v>
      </c>
      <c r="G11" s="3">
        <v>1.2</v>
      </c>
      <c r="H11" s="3" t="s">
        <v>1347</v>
      </c>
      <c r="I11" s="3" t="s">
        <v>1320</v>
      </c>
      <c r="J11" s="3" t="s">
        <v>229</v>
      </c>
    </row>
    <row r="12" spans="1:10" x14ac:dyDescent="0.45">
      <c r="A12" s="20" t="s">
        <v>1348</v>
      </c>
      <c r="B12" s="20" t="s">
        <v>204</v>
      </c>
      <c r="C12" s="20" t="s">
        <v>153</v>
      </c>
      <c r="D12" s="20" t="s">
        <v>1331</v>
      </c>
      <c r="E12" s="20" t="s">
        <v>911</v>
      </c>
      <c r="F12" s="20">
        <v>1500</v>
      </c>
      <c r="G12" s="20" t="s">
        <v>1324</v>
      </c>
      <c r="H12" s="20" t="s">
        <v>1349</v>
      </c>
      <c r="I12" s="20" t="s">
        <v>1332</v>
      </c>
      <c r="J12" s="20" t="s">
        <v>302</v>
      </c>
    </row>
    <row r="13" spans="1:10" x14ac:dyDescent="0.45">
      <c r="A13" s="3" t="s">
        <v>1350</v>
      </c>
      <c r="B13" s="3" t="s">
        <v>205</v>
      </c>
      <c r="C13" s="3" t="s">
        <v>206</v>
      </c>
      <c r="D13" s="3" t="s">
        <v>1322</v>
      </c>
      <c r="E13" s="3" t="s">
        <v>914</v>
      </c>
      <c r="F13" s="3">
        <v>5497</v>
      </c>
      <c r="G13" s="3" t="s">
        <v>1324</v>
      </c>
      <c r="H13" s="3" t="s">
        <v>1319</v>
      </c>
      <c r="I13" s="3" t="s">
        <v>1351</v>
      </c>
      <c r="J13" s="3" t="s">
        <v>302</v>
      </c>
    </row>
    <row r="14" spans="1:10" x14ac:dyDescent="0.45">
      <c r="A14" s="20" t="s">
        <v>1352</v>
      </c>
      <c r="B14" s="20" t="s">
        <v>209</v>
      </c>
      <c r="C14" s="20" t="s">
        <v>210</v>
      </c>
      <c r="D14" s="20" t="s">
        <v>1314</v>
      </c>
      <c r="E14" s="20" t="s">
        <v>1353</v>
      </c>
      <c r="F14" s="20">
        <v>1500</v>
      </c>
      <c r="G14" s="20">
        <v>3.75</v>
      </c>
      <c r="H14" s="20" t="s">
        <v>1325</v>
      </c>
      <c r="I14" s="20" t="s">
        <v>1354</v>
      </c>
      <c r="J14" s="20" t="s">
        <v>229</v>
      </c>
    </row>
    <row r="15" spans="1:10" x14ac:dyDescent="0.45">
      <c r="A15" s="3" t="s">
        <v>1355</v>
      </c>
      <c r="B15" s="3" t="s">
        <v>213</v>
      </c>
      <c r="C15" s="3" t="s">
        <v>214</v>
      </c>
      <c r="D15" s="3" t="s">
        <v>1314</v>
      </c>
      <c r="E15" s="3" t="s">
        <v>1356</v>
      </c>
      <c r="F15" s="3">
        <v>5000</v>
      </c>
      <c r="G15" s="3">
        <v>5.0999999999999996</v>
      </c>
      <c r="H15" s="3" t="s">
        <v>1357</v>
      </c>
      <c r="I15" s="3" t="s">
        <v>1358</v>
      </c>
      <c r="J15" s="3" t="s">
        <v>229</v>
      </c>
    </row>
    <row r="16" spans="1:10" x14ac:dyDescent="0.45">
      <c r="A16" s="20" t="s">
        <v>1359</v>
      </c>
      <c r="B16" s="20" t="s">
        <v>213</v>
      </c>
      <c r="C16" s="20" t="s">
        <v>214</v>
      </c>
      <c r="D16" s="20" t="s">
        <v>1360</v>
      </c>
      <c r="E16" s="20" t="s">
        <v>930</v>
      </c>
      <c r="F16" s="20">
        <v>3000</v>
      </c>
      <c r="G16" s="20" t="s">
        <v>1324</v>
      </c>
      <c r="H16" s="20" t="s">
        <v>1319</v>
      </c>
      <c r="I16" s="20" t="s">
        <v>1326</v>
      </c>
      <c r="J16" s="20" t="s">
        <v>302</v>
      </c>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1"/>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2" customWidth="1"/>
    <col min="2" max="2" width="30" customWidth="1"/>
    <col min="3" max="3" width="14" customWidth="1"/>
    <col min="4" max="5" width="12" customWidth="1"/>
  </cols>
  <sheetData>
    <row r="1" spans="1:5" ht="15" customHeight="1" x14ac:dyDescent="0.45">
      <c r="A1" s="15" t="s">
        <v>1238</v>
      </c>
      <c r="B1" s="15" t="s">
        <v>1361</v>
      </c>
      <c r="C1" s="15" t="s">
        <v>1362</v>
      </c>
      <c r="D1" s="15" t="s">
        <v>1363</v>
      </c>
      <c r="E1" s="15" t="s">
        <v>1240</v>
      </c>
    </row>
    <row r="2" spans="1:5" ht="15" customHeight="1" x14ac:dyDescent="0.45">
      <c r="A2" s="16" t="s">
        <v>1031</v>
      </c>
      <c r="B2" s="16" t="s">
        <v>1364</v>
      </c>
      <c r="C2" s="16" t="s">
        <v>1365</v>
      </c>
      <c r="D2" s="16" t="s">
        <v>1366</v>
      </c>
      <c r="E2" s="16" t="s">
        <v>1367</v>
      </c>
    </row>
    <row r="3" spans="1:5" ht="15" customHeight="1" x14ac:dyDescent="0.45">
      <c r="A3" s="18" t="s">
        <v>1031</v>
      </c>
      <c r="B3" s="18" t="s">
        <v>1368</v>
      </c>
      <c r="C3" s="18" t="s">
        <v>1369</v>
      </c>
      <c r="D3" s="18"/>
      <c r="E3" s="18" t="s">
        <v>439</v>
      </c>
    </row>
    <row r="4" spans="1:5" ht="15" customHeight="1" x14ac:dyDescent="0.45">
      <c r="A4" s="16" t="s">
        <v>1031</v>
      </c>
      <c r="B4" s="16" t="s">
        <v>1370</v>
      </c>
      <c r="C4" s="16" t="s">
        <v>1371</v>
      </c>
      <c r="D4" s="16" t="s">
        <v>1366</v>
      </c>
      <c r="E4" s="16" t="s">
        <v>433</v>
      </c>
    </row>
    <row r="5" spans="1:5" ht="15" customHeight="1" x14ac:dyDescent="0.45">
      <c r="A5" s="18" t="s">
        <v>1031</v>
      </c>
      <c r="B5" s="18" t="s">
        <v>1372</v>
      </c>
      <c r="C5" s="18" t="s">
        <v>1373</v>
      </c>
      <c r="D5" s="18" t="s">
        <v>1374</v>
      </c>
      <c r="E5" s="18" t="s">
        <v>433</v>
      </c>
    </row>
    <row r="6" spans="1:5" ht="15" customHeight="1" x14ac:dyDescent="0.45">
      <c r="A6" s="16" t="s">
        <v>1031</v>
      </c>
      <c r="B6" s="16" t="s">
        <v>1375</v>
      </c>
      <c r="C6" s="16" t="s">
        <v>1376</v>
      </c>
      <c r="D6" s="16" t="s">
        <v>1374</v>
      </c>
      <c r="E6" s="16" t="s">
        <v>1377</v>
      </c>
    </row>
    <row r="7" spans="1:5" ht="15" customHeight="1" x14ac:dyDescent="0.45">
      <c r="A7" s="18" t="s">
        <v>1031</v>
      </c>
      <c r="B7" s="18" t="s">
        <v>1378</v>
      </c>
      <c r="C7" s="18" t="s">
        <v>1379</v>
      </c>
      <c r="D7" s="18" t="s">
        <v>1380</v>
      </c>
      <c r="E7" s="18" t="s">
        <v>1115</v>
      </c>
    </row>
    <row r="8" spans="1:5" ht="15" customHeight="1" x14ac:dyDescent="0.45">
      <c r="A8" s="16" t="s">
        <v>1031</v>
      </c>
      <c r="B8" s="16" t="s">
        <v>1381</v>
      </c>
      <c r="C8" s="16" t="s">
        <v>1382</v>
      </c>
      <c r="D8" s="16" t="s">
        <v>1383</v>
      </c>
      <c r="E8" s="16" t="s">
        <v>1115</v>
      </c>
    </row>
    <row r="9" spans="1:5" ht="15" customHeight="1" x14ac:dyDescent="0.45">
      <c r="A9" s="18" t="s">
        <v>1031</v>
      </c>
      <c r="B9" s="18" t="s">
        <v>1384</v>
      </c>
      <c r="C9" s="18" t="s">
        <v>1385</v>
      </c>
      <c r="D9" s="18"/>
      <c r="E9" s="18" t="s">
        <v>439</v>
      </c>
    </row>
    <row r="10" spans="1:5" ht="15" customHeight="1" x14ac:dyDescent="0.45">
      <c r="A10" s="16" t="s">
        <v>1031</v>
      </c>
      <c r="B10" s="16" t="s">
        <v>1386</v>
      </c>
      <c r="C10" s="16" t="s">
        <v>1387</v>
      </c>
      <c r="D10" s="16" t="s">
        <v>1366</v>
      </c>
      <c r="E10" s="16" t="s">
        <v>433</v>
      </c>
    </row>
    <row r="11" spans="1:5" ht="15" customHeight="1" x14ac:dyDescent="0.45">
      <c r="A11" s="18" t="s">
        <v>1031</v>
      </c>
      <c r="B11" s="18" t="s">
        <v>1388</v>
      </c>
      <c r="C11" s="18" t="s">
        <v>1389</v>
      </c>
      <c r="D11" s="18" t="s">
        <v>1366</v>
      </c>
      <c r="E11" s="18" t="s">
        <v>433</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27"/>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20" customWidth="1"/>
    <col min="2" max="2" width="30" customWidth="1"/>
    <col min="3" max="3" width="13" customWidth="1"/>
    <col min="4" max="4" width="12" customWidth="1"/>
    <col min="5" max="5" width="10" customWidth="1"/>
    <col min="6" max="6" width="24" customWidth="1"/>
    <col min="7" max="8" width="15" customWidth="1"/>
    <col min="9" max="9" width="14" customWidth="1"/>
  </cols>
  <sheetData>
    <row r="1" spans="1:9" ht="23.25" customHeight="1" x14ac:dyDescent="0.45">
      <c r="A1" s="15" t="s">
        <v>1390</v>
      </c>
      <c r="B1" s="15" t="s">
        <v>1391</v>
      </c>
      <c r="C1" s="15" t="s">
        <v>1392</v>
      </c>
      <c r="D1" s="15" t="s">
        <v>1393</v>
      </c>
      <c r="E1" s="15" t="s">
        <v>131</v>
      </c>
      <c r="F1" s="15" t="s">
        <v>132</v>
      </c>
      <c r="G1" s="15" t="s">
        <v>1394</v>
      </c>
      <c r="H1" s="15" t="s">
        <v>1395</v>
      </c>
      <c r="I1" s="15" t="s">
        <v>1396</v>
      </c>
    </row>
    <row r="2" spans="1:9" ht="15" customHeight="1" x14ac:dyDescent="0.45">
      <c r="A2" s="16" t="s">
        <v>145</v>
      </c>
      <c r="B2" s="16" t="s">
        <v>1397</v>
      </c>
      <c r="C2" s="29">
        <v>88</v>
      </c>
      <c r="D2" s="16">
        <v>25</v>
      </c>
      <c r="E2" s="16" t="s">
        <v>142</v>
      </c>
      <c r="F2" s="16" t="s">
        <v>143</v>
      </c>
      <c r="G2" s="29">
        <v>60</v>
      </c>
      <c r="H2" s="29">
        <f t="shared" ref="H2:H27" si="0">C2-G2</f>
        <v>28</v>
      </c>
      <c r="I2" s="16" t="str">
        <f t="shared" ref="I2:I27" si="1">IF(H2&gt;0,"Yes","No")</f>
        <v>Yes</v>
      </c>
    </row>
    <row r="3" spans="1:9" ht="15" customHeight="1" x14ac:dyDescent="0.45">
      <c r="A3" s="18" t="s">
        <v>145</v>
      </c>
      <c r="B3" s="18" t="s">
        <v>1398</v>
      </c>
      <c r="C3" s="30">
        <v>72</v>
      </c>
      <c r="D3" s="18">
        <v>25</v>
      </c>
      <c r="E3" s="18" t="s">
        <v>142</v>
      </c>
      <c r="F3" s="18" t="s">
        <v>143</v>
      </c>
      <c r="G3" s="30">
        <v>50</v>
      </c>
      <c r="H3" s="30">
        <f t="shared" si="0"/>
        <v>22</v>
      </c>
      <c r="I3" s="18" t="str">
        <f t="shared" si="1"/>
        <v>Yes</v>
      </c>
    </row>
    <row r="4" spans="1:9" ht="15" customHeight="1" x14ac:dyDescent="0.45">
      <c r="A4" s="16" t="s">
        <v>145</v>
      </c>
      <c r="B4" s="16" t="s">
        <v>1399</v>
      </c>
      <c r="C4" s="29">
        <v>65</v>
      </c>
      <c r="D4" s="16">
        <v>25</v>
      </c>
      <c r="E4" s="16" t="s">
        <v>142</v>
      </c>
      <c r="F4" s="16" t="s">
        <v>143</v>
      </c>
      <c r="G4" s="29">
        <v>40</v>
      </c>
      <c r="H4" s="29">
        <f t="shared" si="0"/>
        <v>25</v>
      </c>
      <c r="I4" s="16" t="str">
        <f t="shared" si="1"/>
        <v>Yes</v>
      </c>
    </row>
    <row r="5" spans="1:9" ht="15" customHeight="1" x14ac:dyDescent="0.45">
      <c r="A5" s="18" t="s">
        <v>145</v>
      </c>
      <c r="B5" s="18" t="s">
        <v>1397</v>
      </c>
      <c r="C5" s="30">
        <v>88</v>
      </c>
      <c r="D5" s="18">
        <v>25</v>
      </c>
      <c r="E5" s="18" t="s">
        <v>171</v>
      </c>
      <c r="F5" s="18" t="s">
        <v>172</v>
      </c>
      <c r="G5" s="30">
        <v>20</v>
      </c>
      <c r="H5" s="30">
        <f t="shared" si="0"/>
        <v>68</v>
      </c>
      <c r="I5" s="18" t="str">
        <f t="shared" si="1"/>
        <v>Yes</v>
      </c>
    </row>
    <row r="6" spans="1:9" ht="15" customHeight="1" x14ac:dyDescent="0.45">
      <c r="A6" s="16" t="s">
        <v>145</v>
      </c>
      <c r="B6" s="16" t="s">
        <v>1398</v>
      </c>
      <c r="C6" s="29">
        <v>72</v>
      </c>
      <c r="D6" s="16">
        <v>25</v>
      </c>
      <c r="E6" s="16" t="s">
        <v>171</v>
      </c>
      <c r="F6" s="16" t="s">
        <v>172</v>
      </c>
      <c r="G6" s="29">
        <v>10</v>
      </c>
      <c r="H6" s="29">
        <f t="shared" si="0"/>
        <v>62</v>
      </c>
      <c r="I6" s="16" t="str">
        <f t="shared" si="1"/>
        <v>Yes</v>
      </c>
    </row>
    <row r="7" spans="1:9" ht="15" customHeight="1" x14ac:dyDescent="0.45">
      <c r="A7" s="18" t="s">
        <v>145</v>
      </c>
      <c r="B7" s="18" t="s">
        <v>1399</v>
      </c>
      <c r="C7" s="30">
        <v>65</v>
      </c>
      <c r="D7" s="18">
        <v>25</v>
      </c>
      <c r="E7" s="18" t="s">
        <v>171</v>
      </c>
      <c r="F7" s="18" t="s">
        <v>172</v>
      </c>
      <c r="G7" s="30">
        <v>5</v>
      </c>
      <c r="H7" s="30">
        <f t="shared" si="0"/>
        <v>60</v>
      </c>
      <c r="I7" s="18" t="str">
        <f t="shared" si="1"/>
        <v>Yes</v>
      </c>
    </row>
    <row r="8" spans="1:9" ht="15" customHeight="1" x14ac:dyDescent="0.45">
      <c r="A8" s="16" t="s">
        <v>145</v>
      </c>
      <c r="B8" s="16" t="s">
        <v>1400</v>
      </c>
      <c r="C8" s="29">
        <v>58</v>
      </c>
      <c r="D8" s="16">
        <v>25</v>
      </c>
      <c r="E8" s="16" t="s">
        <v>171</v>
      </c>
      <c r="F8" s="16" t="s">
        <v>172</v>
      </c>
      <c r="G8" s="29">
        <v>8</v>
      </c>
      <c r="H8" s="29">
        <f t="shared" si="0"/>
        <v>50</v>
      </c>
      <c r="I8" s="16" t="str">
        <f t="shared" si="1"/>
        <v>Yes</v>
      </c>
    </row>
    <row r="9" spans="1:9" ht="15" customHeight="1" x14ac:dyDescent="0.45">
      <c r="A9" s="18" t="s">
        <v>155</v>
      </c>
      <c r="B9" s="18" t="s">
        <v>1401</v>
      </c>
      <c r="C9" s="30">
        <v>70</v>
      </c>
      <c r="D9" s="18">
        <v>15</v>
      </c>
      <c r="E9" s="18" t="s">
        <v>152</v>
      </c>
      <c r="F9" s="18" t="s">
        <v>153</v>
      </c>
      <c r="G9" s="30">
        <v>50</v>
      </c>
      <c r="H9" s="30">
        <f t="shared" si="0"/>
        <v>20</v>
      </c>
      <c r="I9" s="18" t="str">
        <f t="shared" si="1"/>
        <v>Yes</v>
      </c>
    </row>
    <row r="10" spans="1:9" ht="15" customHeight="1" x14ac:dyDescent="0.45">
      <c r="A10" s="16" t="s">
        <v>164</v>
      </c>
      <c r="B10" s="16" t="s">
        <v>1402</v>
      </c>
      <c r="C10" s="29">
        <v>70</v>
      </c>
      <c r="D10" s="16">
        <v>18</v>
      </c>
      <c r="E10" s="16" t="s">
        <v>161</v>
      </c>
      <c r="F10" s="16" t="s">
        <v>162</v>
      </c>
      <c r="G10" s="29">
        <v>45</v>
      </c>
      <c r="H10" s="29">
        <f t="shared" si="0"/>
        <v>25</v>
      </c>
      <c r="I10" s="16" t="str">
        <f t="shared" si="1"/>
        <v>Yes</v>
      </c>
    </row>
    <row r="11" spans="1:9" ht="15" customHeight="1" x14ac:dyDescent="0.45">
      <c r="A11" s="18" t="s">
        <v>168</v>
      </c>
      <c r="B11" s="18" t="s">
        <v>1403</v>
      </c>
      <c r="C11" s="30">
        <v>60</v>
      </c>
      <c r="D11" s="18">
        <v>20</v>
      </c>
      <c r="E11" s="18" t="s">
        <v>166</v>
      </c>
      <c r="F11" s="18" t="s">
        <v>167</v>
      </c>
      <c r="G11" s="30">
        <v>40</v>
      </c>
      <c r="H11" s="30">
        <f t="shared" si="0"/>
        <v>20</v>
      </c>
      <c r="I11" s="18" t="str">
        <f t="shared" si="1"/>
        <v>Yes</v>
      </c>
    </row>
    <row r="12" spans="1:9" ht="15" customHeight="1" x14ac:dyDescent="0.45">
      <c r="A12" s="16" t="s">
        <v>194</v>
      </c>
      <c r="B12" s="16" t="s">
        <v>1404</v>
      </c>
      <c r="C12" s="29">
        <v>75</v>
      </c>
      <c r="D12" s="16">
        <v>14</v>
      </c>
      <c r="E12" s="16" t="s">
        <v>190</v>
      </c>
      <c r="F12" s="16" t="s">
        <v>191</v>
      </c>
      <c r="G12" s="29">
        <v>55</v>
      </c>
      <c r="H12" s="29">
        <f t="shared" si="0"/>
        <v>20</v>
      </c>
      <c r="I12" s="16" t="str">
        <f t="shared" si="1"/>
        <v>Yes</v>
      </c>
    </row>
    <row r="13" spans="1:9" x14ac:dyDescent="0.45">
      <c r="A13" s="3" t="s">
        <v>200</v>
      </c>
      <c r="B13" s="3" t="s">
        <v>1397</v>
      </c>
      <c r="C13" s="3">
        <v>88</v>
      </c>
      <c r="D13" s="3">
        <v>7</v>
      </c>
      <c r="E13" s="3" t="s">
        <v>197</v>
      </c>
      <c r="F13" s="3" t="s">
        <v>198</v>
      </c>
      <c r="G13" s="3">
        <v>60</v>
      </c>
      <c r="H13" s="3">
        <f t="shared" si="0"/>
        <v>28</v>
      </c>
      <c r="I13" s="3" t="str">
        <f t="shared" si="1"/>
        <v>Yes</v>
      </c>
    </row>
    <row r="14" spans="1:9" x14ac:dyDescent="0.45">
      <c r="A14" s="20" t="s">
        <v>200</v>
      </c>
      <c r="B14" s="20" t="s">
        <v>1398</v>
      </c>
      <c r="C14" s="20">
        <v>72</v>
      </c>
      <c r="D14" s="20">
        <v>7</v>
      </c>
      <c r="E14" s="20" t="s">
        <v>197</v>
      </c>
      <c r="F14" s="20" t="s">
        <v>198</v>
      </c>
      <c r="G14" s="20">
        <v>50</v>
      </c>
      <c r="H14" s="20">
        <f t="shared" si="0"/>
        <v>22</v>
      </c>
      <c r="I14" s="20" t="str">
        <f t="shared" si="1"/>
        <v>Yes</v>
      </c>
    </row>
    <row r="15" spans="1:9" x14ac:dyDescent="0.45">
      <c r="A15" s="3" t="s">
        <v>200</v>
      </c>
      <c r="B15" s="3" t="s">
        <v>1399</v>
      </c>
      <c r="C15" s="3">
        <v>65</v>
      </c>
      <c r="D15" s="3">
        <v>7</v>
      </c>
      <c r="E15" s="3" t="s">
        <v>197</v>
      </c>
      <c r="F15" s="3" t="s">
        <v>198</v>
      </c>
      <c r="G15" s="3">
        <v>40</v>
      </c>
      <c r="H15" s="3">
        <f t="shared" si="0"/>
        <v>25</v>
      </c>
      <c r="I15" s="3" t="str">
        <f t="shared" si="1"/>
        <v>Yes</v>
      </c>
    </row>
    <row r="16" spans="1:9" x14ac:dyDescent="0.45">
      <c r="A16" s="20" t="s">
        <v>155</v>
      </c>
      <c r="B16" s="20" t="s">
        <v>1405</v>
      </c>
      <c r="C16" s="20">
        <v>75</v>
      </c>
      <c r="D16" s="20">
        <v>4</v>
      </c>
      <c r="E16" s="20" t="s">
        <v>204</v>
      </c>
      <c r="F16" s="20" t="s">
        <v>153</v>
      </c>
      <c r="G16" s="20">
        <v>50</v>
      </c>
      <c r="H16" s="20">
        <f t="shared" si="0"/>
        <v>25</v>
      </c>
      <c r="I16" s="20" t="str">
        <f t="shared" si="1"/>
        <v>Yes</v>
      </c>
    </row>
    <row r="17" spans="1:9" x14ac:dyDescent="0.45">
      <c r="A17" s="3" t="s">
        <v>155</v>
      </c>
      <c r="B17" s="3" t="s">
        <v>1406</v>
      </c>
      <c r="C17" s="3">
        <v>60</v>
      </c>
      <c r="D17" s="3">
        <v>4</v>
      </c>
      <c r="E17" s="3" t="s">
        <v>204</v>
      </c>
      <c r="F17" s="3" t="s">
        <v>153</v>
      </c>
      <c r="G17" s="3">
        <v>30</v>
      </c>
      <c r="H17" s="3">
        <f t="shared" si="0"/>
        <v>30</v>
      </c>
      <c r="I17" s="3" t="str">
        <f t="shared" si="1"/>
        <v>Yes</v>
      </c>
    </row>
    <row r="18" spans="1:9" x14ac:dyDescent="0.45">
      <c r="A18" s="20" t="s">
        <v>155</v>
      </c>
      <c r="B18" s="20" t="s">
        <v>1400</v>
      </c>
      <c r="C18" s="20">
        <v>55</v>
      </c>
      <c r="D18" s="20">
        <v>4</v>
      </c>
      <c r="E18" s="20" t="s">
        <v>204</v>
      </c>
      <c r="F18" s="20" t="s">
        <v>153</v>
      </c>
      <c r="G18" s="20">
        <v>25</v>
      </c>
      <c r="H18" s="20">
        <f t="shared" si="0"/>
        <v>30</v>
      </c>
      <c r="I18" s="20" t="str">
        <f t="shared" si="1"/>
        <v>Yes</v>
      </c>
    </row>
    <row r="19" spans="1:9" x14ac:dyDescent="0.45">
      <c r="A19" s="3" t="s">
        <v>207</v>
      </c>
      <c r="B19" s="3" t="s">
        <v>1397</v>
      </c>
      <c r="C19" s="3">
        <v>80</v>
      </c>
      <c r="D19" s="3">
        <v>5</v>
      </c>
      <c r="E19" s="3" t="s">
        <v>205</v>
      </c>
      <c r="F19" s="3" t="s">
        <v>206</v>
      </c>
      <c r="G19" s="3">
        <v>55</v>
      </c>
      <c r="H19" s="3">
        <f t="shared" si="0"/>
        <v>25</v>
      </c>
      <c r="I19" s="3" t="str">
        <f t="shared" si="1"/>
        <v>Yes</v>
      </c>
    </row>
    <row r="20" spans="1:9" x14ac:dyDescent="0.45">
      <c r="A20" s="20" t="s">
        <v>207</v>
      </c>
      <c r="B20" s="20" t="s">
        <v>1407</v>
      </c>
      <c r="C20" s="20">
        <v>70</v>
      </c>
      <c r="D20" s="20">
        <v>5</v>
      </c>
      <c r="E20" s="20" t="s">
        <v>205</v>
      </c>
      <c r="F20" s="20" t="s">
        <v>206</v>
      </c>
      <c r="G20" s="20">
        <v>45</v>
      </c>
      <c r="H20" s="20">
        <f t="shared" si="0"/>
        <v>25</v>
      </c>
      <c r="I20" s="20" t="str">
        <f t="shared" si="1"/>
        <v>Yes</v>
      </c>
    </row>
    <row r="21" spans="1:9" x14ac:dyDescent="0.45">
      <c r="A21" s="3" t="s">
        <v>207</v>
      </c>
      <c r="B21" s="3" t="s">
        <v>1408</v>
      </c>
      <c r="C21" s="3">
        <v>60</v>
      </c>
      <c r="D21" s="3">
        <v>5</v>
      </c>
      <c r="E21" s="3" t="s">
        <v>205</v>
      </c>
      <c r="F21" s="3" t="s">
        <v>206</v>
      </c>
      <c r="G21" s="3">
        <v>35</v>
      </c>
      <c r="H21" s="3">
        <f t="shared" si="0"/>
        <v>25</v>
      </c>
      <c r="I21" s="3" t="str">
        <f t="shared" si="1"/>
        <v>Yes</v>
      </c>
    </row>
    <row r="22" spans="1:9" x14ac:dyDescent="0.45">
      <c r="A22" s="20" t="s">
        <v>211</v>
      </c>
      <c r="B22" s="20" t="s">
        <v>1409</v>
      </c>
      <c r="C22" s="20">
        <v>75</v>
      </c>
      <c r="D22" s="20">
        <v>4</v>
      </c>
      <c r="E22" s="20" t="s">
        <v>209</v>
      </c>
      <c r="F22" s="20" t="s">
        <v>210</v>
      </c>
      <c r="G22" s="20">
        <v>50</v>
      </c>
      <c r="H22" s="20">
        <f t="shared" si="0"/>
        <v>25</v>
      </c>
      <c r="I22" s="20" t="str">
        <f t="shared" si="1"/>
        <v>Yes</v>
      </c>
    </row>
    <row r="23" spans="1:9" x14ac:dyDescent="0.45">
      <c r="A23" s="3" t="s">
        <v>211</v>
      </c>
      <c r="B23" s="3" t="s">
        <v>1410</v>
      </c>
      <c r="C23" s="3">
        <v>70</v>
      </c>
      <c r="D23" s="3">
        <v>4</v>
      </c>
      <c r="E23" s="3" t="s">
        <v>209</v>
      </c>
      <c r="F23" s="3" t="s">
        <v>210</v>
      </c>
      <c r="G23" s="3">
        <v>55</v>
      </c>
      <c r="H23" s="3">
        <f t="shared" si="0"/>
        <v>15</v>
      </c>
      <c r="I23" s="3" t="str">
        <f t="shared" si="1"/>
        <v>Yes</v>
      </c>
    </row>
    <row r="24" spans="1:9" x14ac:dyDescent="0.45">
      <c r="A24" s="20" t="s">
        <v>211</v>
      </c>
      <c r="B24" s="20" t="s">
        <v>1411</v>
      </c>
      <c r="C24" s="20">
        <v>65</v>
      </c>
      <c r="D24" s="20">
        <v>4</v>
      </c>
      <c r="E24" s="20" t="s">
        <v>209</v>
      </c>
      <c r="F24" s="20" t="s">
        <v>210</v>
      </c>
      <c r="G24" s="20">
        <v>45</v>
      </c>
      <c r="H24" s="20">
        <f t="shared" si="0"/>
        <v>20</v>
      </c>
      <c r="I24" s="20" t="str">
        <f t="shared" si="1"/>
        <v>Yes</v>
      </c>
    </row>
    <row r="25" spans="1:9" x14ac:dyDescent="0.45">
      <c r="A25" s="3" t="s">
        <v>1412</v>
      </c>
      <c r="B25" s="3" t="s">
        <v>1397</v>
      </c>
      <c r="C25" s="3">
        <v>78</v>
      </c>
      <c r="D25" s="3">
        <v>5</v>
      </c>
      <c r="E25" s="3" t="s">
        <v>213</v>
      </c>
      <c r="F25" s="3" t="s">
        <v>214</v>
      </c>
      <c r="G25" s="3">
        <v>60</v>
      </c>
      <c r="H25" s="3">
        <f t="shared" si="0"/>
        <v>18</v>
      </c>
      <c r="I25" s="3" t="str">
        <f t="shared" si="1"/>
        <v>Yes</v>
      </c>
    </row>
    <row r="26" spans="1:9" x14ac:dyDescent="0.45">
      <c r="A26" s="20" t="s">
        <v>1412</v>
      </c>
      <c r="B26" s="20" t="s">
        <v>1400</v>
      </c>
      <c r="C26" s="20">
        <v>58</v>
      </c>
      <c r="D26" s="20">
        <v>5</v>
      </c>
      <c r="E26" s="20" t="s">
        <v>213</v>
      </c>
      <c r="F26" s="20" t="s">
        <v>214</v>
      </c>
      <c r="G26" s="20">
        <v>40</v>
      </c>
      <c r="H26" s="20">
        <f t="shared" si="0"/>
        <v>18</v>
      </c>
      <c r="I26" s="20" t="str">
        <f t="shared" si="1"/>
        <v>Yes</v>
      </c>
    </row>
    <row r="27" spans="1:9" x14ac:dyDescent="0.45">
      <c r="A27" s="3" t="s">
        <v>1412</v>
      </c>
      <c r="B27" s="3" t="s">
        <v>1413</v>
      </c>
      <c r="C27" s="3">
        <v>55</v>
      </c>
      <c r="D27" s="3">
        <v>5</v>
      </c>
      <c r="E27" s="3" t="s">
        <v>213</v>
      </c>
      <c r="F27" s="3" t="s">
        <v>214</v>
      </c>
      <c r="G27" s="3">
        <v>30</v>
      </c>
      <c r="H27" s="3">
        <f t="shared" si="0"/>
        <v>25</v>
      </c>
      <c r="I27" s="3" t="str">
        <f t="shared" si="1"/>
        <v>Yes</v>
      </c>
    </row>
  </sheetData>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16" customWidth="1"/>
    <col min="4" max="4" width="22" customWidth="1"/>
    <col min="5" max="5" width="15" customWidth="1"/>
    <col min="6" max="6" width="12" customWidth="1"/>
    <col min="7" max="7" width="30" customWidth="1"/>
  </cols>
  <sheetData>
    <row r="1" spans="1:7" ht="23.25" customHeight="1" x14ac:dyDescent="0.45">
      <c r="A1" s="15" t="s">
        <v>131</v>
      </c>
      <c r="B1" s="15" t="s">
        <v>132</v>
      </c>
      <c r="C1" s="15" t="s">
        <v>1414</v>
      </c>
      <c r="D1" s="15" t="s">
        <v>1415</v>
      </c>
      <c r="E1" s="15" t="s">
        <v>1416</v>
      </c>
      <c r="F1" s="15" t="s">
        <v>1417</v>
      </c>
      <c r="G1" s="15" t="s">
        <v>291</v>
      </c>
    </row>
    <row r="2" spans="1:7" ht="15" customHeight="1" x14ac:dyDescent="0.45">
      <c r="A2" s="16" t="s">
        <v>142</v>
      </c>
      <c r="B2" s="16" t="s">
        <v>143</v>
      </c>
      <c r="C2" s="16" t="s">
        <v>308</v>
      </c>
      <c r="D2" s="16" t="s">
        <v>320</v>
      </c>
      <c r="E2" s="16" t="s">
        <v>1418</v>
      </c>
      <c r="F2" s="16" t="s">
        <v>229</v>
      </c>
      <c r="G2" s="17" t="s">
        <v>1419</v>
      </c>
    </row>
    <row r="3" spans="1:7" ht="15" customHeight="1" x14ac:dyDescent="0.45">
      <c r="A3" s="18" t="s">
        <v>152</v>
      </c>
      <c r="B3" s="18" t="s">
        <v>153</v>
      </c>
      <c r="C3" s="18" t="s">
        <v>308</v>
      </c>
      <c r="D3" s="18" t="s">
        <v>307</v>
      </c>
      <c r="E3" s="18" t="s">
        <v>1420</v>
      </c>
      <c r="F3" s="18" t="s">
        <v>229</v>
      </c>
      <c r="G3" s="19" t="s">
        <v>1419</v>
      </c>
    </row>
    <row r="4" spans="1:7" ht="15" customHeight="1" x14ac:dyDescent="0.45">
      <c r="A4" s="16" t="s">
        <v>161</v>
      </c>
      <c r="B4" s="16" t="s">
        <v>162</v>
      </c>
      <c r="C4" s="16" t="s">
        <v>308</v>
      </c>
      <c r="D4" s="16" t="s">
        <v>314</v>
      </c>
      <c r="E4" s="16" t="s">
        <v>1421</v>
      </c>
      <c r="F4" s="16" t="s">
        <v>302</v>
      </c>
      <c r="G4" s="17" t="s">
        <v>1422</v>
      </c>
    </row>
    <row r="5" spans="1:7" ht="15" customHeight="1" x14ac:dyDescent="0.45">
      <c r="A5" s="18" t="s">
        <v>166</v>
      </c>
      <c r="B5" s="18" t="s">
        <v>167</v>
      </c>
      <c r="C5" s="18" t="s">
        <v>308</v>
      </c>
      <c r="D5" s="18" t="s">
        <v>333</v>
      </c>
      <c r="E5" s="18" t="s">
        <v>1423</v>
      </c>
      <c r="F5" s="18" t="s">
        <v>229</v>
      </c>
      <c r="G5" s="19" t="s">
        <v>1419</v>
      </c>
    </row>
    <row r="6" spans="1:7" ht="15" customHeight="1" x14ac:dyDescent="0.45">
      <c r="A6" s="16" t="s">
        <v>166</v>
      </c>
      <c r="B6" s="16" t="s">
        <v>167</v>
      </c>
      <c r="C6" s="16" t="s">
        <v>378</v>
      </c>
      <c r="D6" s="16" t="s">
        <v>1424</v>
      </c>
      <c r="E6" s="16" t="s">
        <v>337</v>
      </c>
      <c r="F6" s="16" t="s">
        <v>302</v>
      </c>
      <c r="G6" s="17" t="s">
        <v>1422</v>
      </c>
    </row>
    <row r="7" spans="1:7" ht="15" customHeight="1" x14ac:dyDescent="0.45">
      <c r="A7" s="18" t="s">
        <v>171</v>
      </c>
      <c r="B7" s="18" t="s">
        <v>172</v>
      </c>
      <c r="C7" s="18" t="s">
        <v>308</v>
      </c>
      <c r="D7" s="18" t="s">
        <v>338</v>
      </c>
      <c r="E7" s="18" t="s">
        <v>1425</v>
      </c>
      <c r="F7" s="18" t="s">
        <v>229</v>
      </c>
      <c r="G7" s="19" t="s">
        <v>1419</v>
      </c>
    </row>
    <row r="8" spans="1:7" ht="15" customHeight="1" x14ac:dyDescent="0.45">
      <c r="A8" s="16" t="s">
        <v>190</v>
      </c>
      <c r="B8" s="16" t="s">
        <v>191</v>
      </c>
      <c r="C8" s="16" t="s">
        <v>308</v>
      </c>
      <c r="D8" s="16" t="s">
        <v>344</v>
      </c>
      <c r="E8" s="16" t="s">
        <v>1426</v>
      </c>
      <c r="F8" s="16" t="s">
        <v>229</v>
      </c>
      <c r="G8" s="17" t="s">
        <v>1419</v>
      </c>
    </row>
    <row r="9" spans="1:7" ht="15" customHeight="1" x14ac:dyDescent="0.45">
      <c r="A9" s="18" t="s">
        <v>184</v>
      </c>
      <c r="B9" s="18" t="s">
        <v>185</v>
      </c>
      <c r="C9" s="18" t="s">
        <v>308</v>
      </c>
      <c r="D9" s="18" t="s">
        <v>354</v>
      </c>
      <c r="E9" s="18" t="s">
        <v>1427</v>
      </c>
      <c r="F9" s="18" t="s">
        <v>302</v>
      </c>
      <c r="G9" s="19" t="s">
        <v>1422</v>
      </c>
    </row>
    <row r="10" spans="1:7" ht="25.5" x14ac:dyDescent="0.45">
      <c r="A10" s="20" t="s">
        <v>197</v>
      </c>
      <c r="B10" s="20" t="s">
        <v>198</v>
      </c>
      <c r="C10" s="20" t="s">
        <v>308</v>
      </c>
      <c r="D10" s="20" t="s">
        <v>1428</v>
      </c>
      <c r="E10" s="20" t="s">
        <v>1429</v>
      </c>
      <c r="F10" s="20" t="s">
        <v>302</v>
      </c>
      <c r="G10" s="20" t="s">
        <v>1430</v>
      </c>
    </row>
    <row r="11" spans="1:7" x14ac:dyDescent="0.45">
      <c r="A11" s="3" t="s">
        <v>204</v>
      </c>
      <c r="B11" s="3" t="s">
        <v>153</v>
      </c>
      <c r="C11" s="3" t="s">
        <v>308</v>
      </c>
      <c r="D11" s="3" t="s">
        <v>307</v>
      </c>
      <c r="E11" s="3" t="s">
        <v>1420</v>
      </c>
      <c r="F11" s="3" t="s">
        <v>229</v>
      </c>
      <c r="G11" s="3" t="s">
        <v>1419</v>
      </c>
    </row>
    <row r="12" spans="1:7" x14ac:dyDescent="0.45">
      <c r="A12" s="20" t="s">
        <v>205</v>
      </c>
      <c r="B12" s="20" t="s">
        <v>206</v>
      </c>
      <c r="C12" s="20" t="s">
        <v>308</v>
      </c>
      <c r="D12" s="20" t="s">
        <v>373</v>
      </c>
      <c r="E12" s="20" t="s">
        <v>1426</v>
      </c>
      <c r="F12" s="20" t="s">
        <v>229</v>
      </c>
      <c r="G12" s="20" t="s">
        <v>1419</v>
      </c>
    </row>
    <row r="13" spans="1:7" x14ac:dyDescent="0.45">
      <c r="A13" s="3" t="s">
        <v>209</v>
      </c>
      <c r="B13" s="3" t="s">
        <v>210</v>
      </c>
      <c r="C13" s="3" t="s">
        <v>308</v>
      </c>
      <c r="D13" s="3" t="s">
        <v>384</v>
      </c>
      <c r="E13" s="3" t="s">
        <v>1427</v>
      </c>
      <c r="F13" s="3" t="s">
        <v>302</v>
      </c>
      <c r="G13" s="3" t="s">
        <v>1422</v>
      </c>
    </row>
    <row r="14" spans="1:7" x14ac:dyDescent="0.45">
      <c r="A14" s="20" t="s">
        <v>213</v>
      </c>
      <c r="B14" s="20" t="s">
        <v>214</v>
      </c>
      <c r="C14" s="20" t="s">
        <v>308</v>
      </c>
      <c r="D14" s="20" t="s">
        <v>395</v>
      </c>
      <c r="E14" s="20" t="s">
        <v>1431</v>
      </c>
      <c r="F14" s="20" t="s">
        <v>229</v>
      </c>
      <c r="G14" s="20" t="s">
        <v>1419</v>
      </c>
    </row>
  </sheetData>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20" customWidth="1"/>
    <col min="4" max="4" width="18" customWidth="1"/>
    <col min="5" max="5" width="12" customWidth="1"/>
    <col min="6" max="6" width="22" customWidth="1"/>
    <col min="7" max="7" width="11" customWidth="1"/>
  </cols>
  <sheetData>
    <row r="1" spans="1:7" ht="23.25" customHeight="1" x14ac:dyDescent="0.45">
      <c r="A1" s="15" t="s">
        <v>131</v>
      </c>
      <c r="B1" s="15" t="s">
        <v>132</v>
      </c>
      <c r="C1" s="15" t="s">
        <v>1432</v>
      </c>
      <c r="D1" s="15" t="s">
        <v>1433</v>
      </c>
      <c r="E1" s="15" t="s">
        <v>1434</v>
      </c>
      <c r="F1" s="15" t="s">
        <v>1435</v>
      </c>
      <c r="G1" s="15" t="s">
        <v>1436</v>
      </c>
    </row>
    <row r="2" spans="1:7" ht="15" customHeight="1" x14ac:dyDescent="0.45">
      <c r="A2" s="16" t="s">
        <v>142</v>
      </c>
      <c r="B2" s="16" t="s">
        <v>143</v>
      </c>
      <c r="C2" s="29">
        <v>2040</v>
      </c>
      <c r="D2" s="21">
        <v>4000</v>
      </c>
      <c r="E2" s="16" t="s">
        <v>302</v>
      </c>
      <c r="F2" s="16" t="s">
        <v>1437</v>
      </c>
      <c r="G2" s="16" t="s">
        <v>1438</v>
      </c>
    </row>
    <row r="3" spans="1:7" ht="15" customHeight="1" x14ac:dyDescent="0.45">
      <c r="A3" s="18" t="s">
        <v>152</v>
      </c>
      <c r="B3" s="18" t="s">
        <v>153</v>
      </c>
      <c r="C3" s="30">
        <v>2040</v>
      </c>
      <c r="D3" s="24">
        <v>600</v>
      </c>
      <c r="E3" s="18" t="s">
        <v>229</v>
      </c>
      <c r="F3" s="18" t="s">
        <v>1439</v>
      </c>
      <c r="G3" s="18" t="s">
        <v>1028</v>
      </c>
    </row>
    <row r="4" spans="1:7" ht="15" customHeight="1" x14ac:dyDescent="0.45">
      <c r="A4" s="16" t="s">
        <v>161</v>
      </c>
      <c r="B4" s="16" t="s">
        <v>162</v>
      </c>
      <c r="C4" s="29">
        <v>2038</v>
      </c>
      <c r="D4" s="21">
        <v>3500</v>
      </c>
      <c r="E4" s="16" t="s">
        <v>302</v>
      </c>
      <c r="F4" s="16" t="s">
        <v>1439</v>
      </c>
      <c r="G4" s="16" t="s">
        <v>1030</v>
      </c>
    </row>
    <row r="5" spans="1:7" ht="15" customHeight="1" x14ac:dyDescent="0.45">
      <c r="A5" s="18" t="s">
        <v>166</v>
      </c>
      <c r="B5" s="18" t="s">
        <v>167</v>
      </c>
      <c r="C5" s="30">
        <v>2030</v>
      </c>
      <c r="D5" s="24">
        <v>200</v>
      </c>
      <c r="E5" s="18" t="s">
        <v>229</v>
      </c>
      <c r="F5" s="18" t="s">
        <v>1437</v>
      </c>
      <c r="G5" s="18" t="s">
        <v>1028</v>
      </c>
    </row>
    <row r="6" spans="1:7" ht="15" customHeight="1" x14ac:dyDescent="0.45">
      <c r="A6" s="16" t="s">
        <v>171</v>
      </c>
      <c r="B6" s="16" t="s">
        <v>172</v>
      </c>
      <c r="C6" s="29">
        <v>2040</v>
      </c>
      <c r="D6" s="21">
        <v>2800</v>
      </c>
      <c r="E6" s="16" t="s">
        <v>302</v>
      </c>
      <c r="F6" s="16" t="s">
        <v>1437</v>
      </c>
      <c r="G6" s="16" t="s">
        <v>1028</v>
      </c>
    </row>
    <row r="7" spans="1:7" ht="15" customHeight="1" x14ac:dyDescent="0.45">
      <c r="A7" s="18" t="s">
        <v>179</v>
      </c>
      <c r="B7" s="18" t="s">
        <v>180</v>
      </c>
      <c r="C7" s="30">
        <v>2040</v>
      </c>
      <c r="D7" s="24">
        <v>300</v>
      </c>
      <c r="E7" s="18" t="s">
        <v>229</v>
      </c>
      <c r="F7" s="18" t="s">
        <v>1439</v>
      </c>
      <c r="G7" s="18" t="s">
        <v>1028</v>
      </c>
    </row>
    <row r="8" spans="1:7" ht="15" customHeight="1" x14ac:dyDescent="0.45">
      <c r="A8" s="16" t="s">
        <v>184</v>
      </c>
      <c r="B8" s="16" t="s">
        <v>185</v>
      </c>
      <c r="C8" s="29">
        <v>2040</v>
      </c>
      <c r="D8" s="21">
        <v>250</v>
      </c>
      <c r="E8" s="16" t="s">
        <v>302</v>
      </c>
      <c r="F8" s="16" t="s">
        <v>1439</v>
      </c>
      <c r="G8" s="16" t="s">
        <v>1030</v>
      </c>
    </row>
    <row r="9" spans="1:7" ht="15" customHeight="1" x14ac:dyDescent="0.45">
      <c r="A9" s="18" t="s">
        <v>190</v>
      </c>
      <c r="B9" s="18" t="s">
        <v>191</v>
      </c>
      <c r="C9" s="30">
        <v>2040</v>
      </c>
      <c r="D9" s="24">
        <v>1500</v>
      </c>
      <c r="E9" s="18" t="s">
        <v>302</v>
      </c>
      <c r="F9" s="18" t="s">
        <v>1437</v>
      </c>
      <c r="G9" s="18" t="s">
        <v>1030</v>
      </c>
    </row>
    <row r="10" spans="1:7" x14ac:dyDescent="0.45">
      <c r="A10" s="20" t="s">
        <v>197</v>
      </c>
      <c r="B10" s="20" t="s">
        <v>198</v>
      </c>
      <c r="C10" s="20">
        <v>2040</v>
      </c>
      <c r="D10" s="20">
        <v>4000</v>
      </c>
      <c r="E10" s="20" t="s">
        <v>302</v>
      </c>
      <c r="F10" s="20" t="s">
        <v>1437</v>
      </c>
      <c r="G10" s="20" t="s">
        <v>1438</v>
      </c>
    </row>
    <row r="11" spans="1:7" x14ac:dyDescent="0.45">
      <c r="A11" s="3" t="s">
        <v>204</v>
      </c>
      <c r="B11" s="3" t="s">
        <v>153</v>
      </c>
      <c r="C11" s="3">
        <v>2040</v>
      </c>
      <c r="D11" s="3">
        <v>600</v>
      </c>
      <c r="E11" s="3" t="s">
        <v>229</v>
      </c>
      <c r="F11" s="3" t="s">
        <v>1439</v>
      </c>
      <c r="G11" s="3" t="s">
        <v>1028</v>
      </c>
    </row>
    <row r="12" spans="1:7" x14ac:dyDescent="0.45">
      <c r="A12" s="20" t="s">
        <v>205</v>
      </c>
      <c r="B12" s="20" t="s">
        <v>206</v>
      </c>
      <c r="C12" s="20">
        <v>2050</v>
      </c>
      <c r="D12" s="20">
        <v>2000</v>
      </c>
      <c r="E12" s="20" t="s">
        <v>302</v>
      </c>
      <c r="F12" s="20" t="s">
        <v>1439</v>
      </c>
      <c r="G12" s="20" t="s">
        <v>1030</v>
      </c>
    </row>
    <row r="13" spans="1:7" x14ac:dyDescent="0.45">
      <c r="A13" s="3" t="s">
        <v>209</v>
      </c>
      <c r="B13" s="3" t="s">
        <v>210</v>
      </c>
      <c r="C13" s="3">
        <v>2050</v>
      </c>
      <c r="D13" s="3">
        <v>1500</v>
      </c>
      <c r="E13" s="3" t="s">
        <v>302</v>
      </c>
      <c r="F13" s="3" t="s">
        <v>1440</v>
      </c>
      <c r="G13" s="3" t="s">
        <v>1033</v>
      </c>
    </row>
    <row r="14" spans="1:7" x14ac:dyDescent="0.45">
      <c r="A14" s="20" t="s">
        <v>213</v>
      </c>
      <c r="B14" s="20" t="s">
        <v>214</v>
      </c>
      <c r="C14" s="20">
        <v>2050</v>
      </c>
      <c r="D14" s="20">
        <v>800</v>
      </c>
      <c r="E14" s="20" t="s">
        <v>302</v>
      </c>
      <c r="F14" s="20" t="s">
        <v>1439</v>
      </c>
      <c r="G14" s="20" t="s">
        <v>1030</v>
      </c>
    </row>
  </sheetData>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6"/>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22" customWidth="1"/>
    <col min="2" max="2" width="30" customWidth="1"/>
    <col min="3" max="3" width="22" customWidth="1"/>
    <col min="4" max="4" width="10" customWidth="1"/>
    <col min="5" max="5" width="16" customWidth="1"/>
  </cols>
  <sheetData>
    <row r="1" spans="1:5" ht="15" customHeight="1" x14ac:dyDescent="0.45">
      <c r="A1" s="15" t="s">
        <v>1441</v>
      </c>
      <c r="B1" s="15" t="s">
        <v>1442</v>
      </c>
      <c r="C1" s="15" t="s">
        <v>1443</v>
      </c>
      <c r="D1" s="15" t="s">
        <v>1444</v>
      </c>
      <c r="E1" s="15" t="s">
        <v>1445</v>
      </c>
    </row>
    <row r="2" spans="1:5" ht="15" customHeight="1" x14ac:dyDescent="0.45">
      <c r="A2" s="16" t="s">
        <v>1446</v>
      </c>
      <c r="B2" s="16" t="s">
        <v>1447</v>
      </c>
      <c r="C2" s="16" t="s">
        <v>1448</v>
      </c>
      <c r="D2" s="16" t="s">
        <v>1449</v>
      </c>
      <c r="E2" s="16">
        <v>0.15</v>
      </c>
    </row>
    <row r="3" spans="1:5" ht="15" customHeight="1" x14ac:dyDescent="0.45">
      <c r="A3" s="18" t="s">
        <v>1446</v>
      </c>
      <c r="B3" s="18" t="s">
        <v>1450</v>
      </c>
      <c r="C3" s="18" t="s">
        <v>1451</v>
      </c>
      <c r="D3" s="18" t="s">
        <v>1449</v>
      </c>
      <c r="E3" s="18">
        <v>150</v>
      </c>
    </row>
    <row r="4" spans="1:5" ht="15" customHeight="1" x14ac:dyDescent="0.45">
      <c r="A4" s="16" t="s">
        <v>1446</v>
      </c>
      <c r="B4" s="16" t="s">
        <v>1452</v>
      </c>
      <c r="C4" s="16" t="s">
        <v>1453</v>
      </c>
      <c r="D4" s="16" t="s">
        <v>1454</v>
      </c>
      <c r="E4" s="16">
        <v>0.6</v>
      </c>
    </row>
    <row r="5" spans="1:5" ht="15" customHeight="1" x14ac:dyDescent="0.45">
      <c r="A5" s="18" t="s">
        <v>1446</v>
      </c>
      <c r="B5" s="18" t="s">
        <v>1455</v>
      </c>
      <c r="C5" s="18" t="s">
        <v>1456</v>
      </c>
      <c r="D5" s="18" t="s">
        <v>1454</v>
      </c>
      <c r="E5" s="18">
        <v>4.5</v>
      </c>
    </row>
    <row r="6" spans="1:5" ht="15" customHeight="1" x14ac:dyDescent="0.45">
      <c r="A6" s="16" t="s">
        <v>1446</v>
      </c>
      <c r="B6" s="16" t="s">
        <v>1457</v>
      </c>
      <c r="C6" s="16" t="s">
        <v>1458</v>
      </c>
      <c r="D6" s="16" t="s">
        <v>1454</v>
      </c>
      <c r="E6" s="16">
        <v>4</v>
      </c>
    </row>
    <row r="7" spans="1:5" ht="15" customHeight="1" x14ac:dyDescent="0.45">
      <c r="A7" s="18" t="s">
        <v>1459</v>
      </c>
      <c r="B7" s="18" t="s">
        <v>1460</v>
      </c>
      <c r="C7" s="18" t="s">
        <v>1461</v>
      </c>
      <c r="D7" s="18" t="s">
        <v>1454</v>
      </c>
      <c r="E7" s="18">
        <v>0.5</v>
      </c>
    </row>
    <row r="8" spans="1:5" ht="15" customHeight="1" x14ac:dyDescent="0.45">
      <c r="A8" s="16" t="s">
        <v>1459</v>
      </c>
      <c r="B8" s="16" t="s">
        <v>1462</v>
      </c>
      <c r="C8" s="16" t="s">
        <v>1463</v>
      </c>
      <c r="D8" s="16" t="s">
        <v>1454</v>
      </c>
      <c r="E8" s="16">
        <v>0.7</v>
      </c>
    </row>
    <row r="9" spans="1:5" ht="15" customHeight="1" x14ac:dyDescent="0.45">
      <c r="A9" s="18" t="s">
        <v>1459</v>
      </c>
      <c r="B9" s="18" t="s">
        <v>1464</v>
      </c>
      <c r="C9" s="18" t="s">
        <v>1465</v>
      </c>
      <c r="D9" s="18" t="s">
        <v>1449</v>
      </c>
      <c r="E9" s="18">
        <v>2000</v>
      </c>
    </row>
    <row r="10" spans="1:5" ht="15" customHeight="1" x14ac:dyDescent="0.45">
      <c r="A10" s="16" t="s">
        <v>1459</v>
      </c>
      <c r="B10" s="16" t="s">
        <v>1466</v>
      </c>
      <c r="C10" s="16" t="s">
        <v>1467</v>
      </c>
      <c r="D10" s="16" t="s">
        <v>1449</v>
      </c>
      <c r="E10" s="16">
        <v>0.25</v>
      </c>
    </row>
    <row r="11" spans="1:5" ht="15" customHeight="1" x14ac:dyDescent="0.45">
      <c r="A11" s="18" t="s">
        <v>1459</v>
      </c>
      <c r="B11" s="18" t="s">
        <v>1468</v>
      </c>
      <c r="C11" s="18" t="s">
        <v>1469</v>
      </c>
      <c r="D11" s="18" t="s">
        <v>1449</v>
      </c>
      <c r="E11" s="18">
        <v>100</v>
      </c>
    </row>
    <row r="12" spans="1:5" ht="15" customHeight="1" x14ac:dyDescent="0.45">
      <c r="A12" s="16" t="s">
        <v>1470</v>
      </c>
      <c r="B12" s="16" t="s">
        <v>1471</v>
      </c>
      <c r="C12" s="16" t="s">
        <v>1472</v>
      </c>
      <c r="D12" s="16" t="s">
        <v>1449</v>
      </c>
      <c r="E12" s="16">
        <v>0.4</v>
      </c>
    </row>
    <row r="13" spans="1:5" ht="15" customHeight="1" x14ac:dyDescent="0.45">
      <c r="A13" s="18" t="s">
        <v>1470</v>
      </c>
      <c r="B13" s="18" t="s">
        <v>1462</v>
      </c>
      <c r="C13" s="18" t="s">
        <v>1473</v>
      </c>
      <c r="D13" s="18" t="s">
        <v>1454</v>
      </c>
      <c r="E13" s="18">
        <v>0.6</v>
      </c>
    </row>
    <row r="14" spans="1:5" ht="15" customHeight="1" x14ac:dyDescent="0.45">
      <c r="A14" s="16" t="s">
        <v>1470</v>
      </c>
      <c r="B14" s="16" t="s">
        <v>1474</v>
      </c>
      <c r="C14" s="16" t="s">
        <v>1475</v>
      </c>
      <c r="D14" s="16" t="s">
        <v>1449</v>
      </c>
      <c r="E14" s="16">
        <v>25</v>
      </c>
    </row>
    <row r="15" spans="1:5" ht="15" customHeight="1" x14ac:dyDescent="0.45">
      <c r="A15" s="18" t="s">
        <v>1470</v>
      </c>
      <c r="B15" s="18" t="s">
        <v>1476</v>
      </c>
      <c r="C15" s="18" t="s">
        <v>1477</v>
      </c>
      <c r="D15" s="18" t="s">
        <v>1449</v>
      </c>
      <c r="E15" s="18">
        <v>0.2</v>
      </c>
    </row>
    <row r="16" spans="1:5" ht="15" customHeight="1" x14ac:dyDescent="0.45">
      <c r="A16" s="16" t="s">
        <v>1470</v>
      </c>
      <c r="B16" s="16" t="s">
        <v>1478</v>
      </c>
      <c r="C16" s="16" t="s">
        <v>1479</v>
      </c>
      <c r="D16" s="16" t="s">
        <v>1454</v>
      </c>
      <c r="E16" s="16">
        <v>5</v>
      </c>
    </row>
  </sheetData>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3"/>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22" customWidth="1"/>
    <col min="4" max="4" width="28" customWidth="1"/>
    <col min="5" max="5" width="14" customWidth="1"/>
    <col min="6" max="6" width="10" customWidth="1"/>
    <col min="7" max="7" width="12" customWidth="1"/>
    <col min="8" max="8" width="14" customWidth="1"/>
  </cols>
  <sheetData>
    <row r="1" spans="1:8" ht="15" customHeight="1" x14ac:dyDescent="0.45">
      <c r="A1" s="15" t="s">
        <v>131</v>
      </c>
      <c r="B1" s="15" t="s">
        <v>132</v>
      </c>
      <c r="C1" s="15" t="s">
        <v>1441</v>
      </c>
      <c r="D1" s="15" t="s">
        <v>1442</v>
      </c>
      <c r="E1" s="15" t="s">
        <v>1480</v>
      </c>
      <c r="F1" s="15" t="s">
        <v>1444</v>
      </c>
      <c r="G1" s="15" t="s">
        <v>1481</v>
      </c>
      <c r="H1" s="15" t="s">
        <v>1482</v>
      </c>
    </row>
    <row r="2" spans="1:8" ht="15" customHeight="1" x14ac:dyDescent="0.45">
      <c r="A2" s="16" t="s">
        <v>152</v>
      </c>
      <c r="B2" s="16" t="s">
        <v>153</v>
      </c>
      <c r="C2" s="16" t="s">
        <v>1459</v>
      </c>
      <c r="D2" s="16" t="s">
        <v>1462</v>
      </c>
      <c r="E2" s="35">
        <v>0.5</v>
      </c>
      <c r="F2" s="16" t="s">
        <v>1454</v>
      </c>
      <c r="G2" s="35">
        <v>0.7</v>
      </c>
      <c r="H2" s="16" t="str">
        <f>IF(E2&lt;G2,"TRIGGERED","OK")</f>
        <v>TRIGGERED</v>
      </c>
    </row>
    <row r="3" spans="1:8" ht="15" customHeight="1" x14ac:dyDescent="0.45">
      <c r="A3" s="18" t="s">
        <v>152</v>
      </c>
      <c r="B3" s="18" t="s">
        <v>153</v>
      </c>
      <c r="C3" s="18" t="s">
        <v>1459</v>
      </c>
      <c r="D3" s="18" t="s">
        <v>1464</v>
      </c>
      <c r="E3" s="36">
        <v>6000</v>
      </c>
      <c r="F3" s="18" t="s">
        <v>1449</v>
      </c>
      <c r="G3" s="36">
        <v>2000</v>
      </c>
      <c r="H3" s="18" t="str">
        <f>IF(E3&gt;G3,"TRIGGERED","OK")</f>
        <v>TRIGGERED</v>
      </c>
    </row>
    <row r="4" spans="1:8" ht="15" customHeight="1" x14ac:dyDescent="0.45">
      <c r="A4" s="16" t="s">
        <v>161</v>
      </c>
      <c r="B4" s="16" t="s">
        <v>162</v>
      </c>
      <c r="C4" s="16" t="s">
        <v>1470</v>
      </c>
      <c r="D4" s="16" t="s">
        <v>1471</v>
      </c>
      <c r="E4" s="35">
        <v>0.55000000000000004</v>
      </c>
      <c r="F4" s="16" t="s">
        <v>1449</v>
      </c>
      <c r="G4" s="35">
        <v>0.4</v>
      </c>
      <c r="H4" s="16" t="str">
        <f>IF(E4&gt;G4,"TRIGGERED","OK")</f>
        <v>TRIGGERED</v>
      </c>
    </row>
    <row r="5" spans="1:8" ht="15" customHeight="1" x14ac:dyDescent="0.45">
      <c r="A5" s="18" t="s">
        <v>161</v>
      </c>
      <c r="B5" s="18" t="s">
        <v>162</v>
      </c>
      <c r="C5" s="18" t="s">
        <v>1470</v>
      </c>
      <c r="D5" s="18" t="s">
        <v>1462</v>
      </c>
      <c r="E5" s="36">
        <v>0.45</v>
      </c>
      <c r="F5" s="18" t="s">
        <v>1454</v>
      </c>
      <c r="G5" s="36">
        <v>0.6</v>
      </c>
      <c r="H5" s="18" t="str">
        <f>IF(E5&lt;G5,"TRIGGERED","OK")</f>
        <v>TRIGGERED</v>
      </c>
    </row>
    <row r="6" spans="1:8" ht="15" customHeight="1" x14ac:dyDescent="0.45">
      <c r="A6" s="16" t="s">
        <v>161</v>
      </c>
      <c r="B6" s="16" t="s">
        <v>162</v>
      </c>
      <c r="C6" s="16" t="s">
        <v>1470</v>
      </c>
      <c r="D6" s="16" t="s">
        <v>1474</v>
      </c>
      <c r="E6" s="35">
        <v>80</v>
      </c>
      <c r="F6" s="16" t="s">
        <v>1449</v>
      </c>
      <c r="G6" s="35">
        <v>25</v>
      </c>
      <c r="H6" s="16" t="str">
        <f>IF(E6&gt;G6,"TRIGGERED","OK")</f>
        <v>TRIGGERED</v>
      </c>
    </row>
    <row r="7" spans="1:8" ht="15" customHeight="1" x14ac:dyDescent="0.45">
      <c r="A7" s="18" t="s">
        <v>161</v>
      </c>
      <c r="B7" s="18" t="s">
        <v>162</v>
      </c>
      <c r="C7" s="18" t="s">
        <v>1470</v>
      </c>
      <c r="D7" s="18" t="s">
        <v>1476</v>
      </c>
      <c r="E7" s="36">
        <v>0.38</v>
      </c>
      <c r="F7" s="18" t="s">
        <v>1449</v>
      </c>
      <c r="G7" s="36">
        <v>0.2</v>
      </c>
      <c r="H7" s="18" t="str">
        <f>IF(E7&gt;G7,"TRIGGERED","OK")</f>
        <v>TRIGGERED</v>
      </c>
    </row>
    <row r="8" spans="1:8" ht="15" customHeight="1" x14ac:dyDescent="0.45">
      <c r="A8" s="16" t="s">
        <v>142</v>
      </c>
      <c r="B8" s="16" t="s">
        <v>143</v>
      </c>
      <c r="C8" s="16" t="s">
        <v>1446</v>
      </c>
      <c r="D8" s="16" t="s">
        <v>1450</v>
      </c>
      <c r="E8" s="35">
        <v>300</v>
      </c>
      <c r="F8" s="16" t="s">
        <v>1449</v>
      </c>
      <c r="G8" s="35">
        <v>150</v>
      </c>
      <c r="H8" s="16" t="str">
        <f>IF(E8&gt;G8,"TRIGGERED","OK")</f>
        <v>TRIGGERED</v>
      </c>
    </row>
    <row r="9" spans="1:8" ht="15" customHeight="1" x14ac:dyDescent="0.45">
      <c r="A9" s="18" t="s">
        <v>142</v>
      </c>
      <c r="B9" s="18" t="s">
        <v>143</v>
      </c>
      <c r="C9" s="18" t="s">
        <v>1446</v>
      </c>
      <c r="D9" s="18" t="s">
        <v>1447</v>
      </c>
      <c r="E9" s="36">
        <v>0.08</v>
      </c>
      <c r="F9" s="18" t="s">
        <v>1449</v>
      </c>
      <c r="G9" s="36">
        <v>0.15</v>
      </c>
      <c r="H9" s="18" t="str">
        <f>IF(E9&gt;G9,"TRIGGERED","OK")</f>
        <v>OK</v>
      </c>
    </row>
    <row r="10" spans="1:8" ht="15" customHeight="1" x14ac:dyDescent="0.45">
      <c r="A10" s="16" t="s">
        <v>166</v>
      </c>
      <c r="B10" s="16" t="s">
        <v>167</v>
      </c>
      <c r="C10" s="16" t="s">
        <v>1446</v>
      </c>
      <c r="D10" s="16" t="s">
        <v>1452</v>
      </c>
      <c r="E10" s="35">
        <v>0.72</v>
      </c>
      <c r="F10" s="16" t="s">
        <v>1454</v>
      </c>
      <c r="G10" s="35">
        <v>0.6</v>
      </c>
      <c r="H10" s="16" t="str">
        <f>IF(E10&lt;G10,"TRIGGERED","OK")</f>
        <v>OK</v>
      </c>
    </row>
    <row r="11" spans="1:8" ht="15" customHeight="1" x14ac:dyDescent="0.45">
      <c r="A11" s="18" t="s">
        <v>171</v>
      </c>
      <c r="B11" s="18" t="s">
        <v>172</v>
      </c>
      <c r="C11" s="18" t="s">
        <v>1459</v>
      </c>
      <c r="D11" s="18" t="s">
        <v>1462</v>
      </c>
      <c r="E11" s="36">
        <v>0.35</v>
      </c>
      <c r="F11" s="18" t="s">
        <v>1454</v>
      </c>
      <c r="G11" s="36">
        <v>0.7</v>
      </c>
      <c r="H11" s="18" t="str">
        <f>IF(E11&lt;G11,"TRIGGERED","OK")</f>
        <v>TRIGGERED</v>
      </c>
    </row>
    <row r="12" spans="1:8" ht="15" customHeight="1" x14ac:dyDescent="0.45">
      <c r="A12" s="16" t="s">
        <v>190</v>
      </c>
      <c r="B12" s="16" t="s">
        <v>191</v>
      </c>
      <c r="C12" s="16" t="s">
        <v>1459</v>
      </c>
      <c r="D12" s="16" t="s">
        <v>1464</v>
      </c>
      <c r="E12" s="35">
        <v>3400</v>
      </c>
      <c r="F12" s="16" t="s">
        <v>1449</v>
      </c>
      <c r="G12" s="35">
        <v>2000</v>
      </c>
      <c r="H12" s="16" t="str">
        <f>IF(E12&gt;G12,"TRIGGERED","OK")</f>
        <v>TRIGGERED</v>
      </c>
    </row>
    <row r="13" spans="1:8" ht="15" customHeight="1" x14ac:dyDescent="0.45">
      <c r="A13" s="18" t="s">
        <v>190</v>
      </c>
      <c r="B13" s="18" t="s">
        <v>191</v>
      </c>
      <c r="C13" s="18" t="s">
        <v>1470</v>
      </c>
      <c r="D13" s="18" t="s">
        <v>1462</v>
      </c>
      <c r="E13" s="36">
        <v>0.52</v>
      </c>
      <c r="F13" s="18" t="s">
        <v>1454</v>
      </c>
      <c r="G13" s="36">
        <v>0.6</v>
      </c>
      <c r="H13" s="18" t="str">
        <f>IF(E13&lt;G13,"TRIGGERED","OK")</f>
        <v>TRIGGERED</v>
      </c>
    </row>
    <row r="14" spans="1:8" x14ac:dyDescent="0.45">
      <c r="A14" s="20" t="s">
        <v>197</v>
      </c>
      <c r="B14" s="20" t="s">
        <v>198</v>
      </c>
      <c r="C14" s="20" t="s">
        <v>1446</v>
      </c>
      <c r="D14" s="20" t="s">
        <v>1450</v>
      </c>
      <c r="E14" s="20">
        <v>300</v>
      </c>
      <c r="F14" s="20" t="s">
        <v>1449</v>
      </c>
      <c r="G14" s="20">
        <v>150</v>
      </c>
      <c r="H14" s="37" t="str">
        <f>IF(E14&gt;G14,"TRIGGERED","OK")</f>
        <v>TRIGGERED</v>
      </c>
    </row>
    <row r="15" spans="1:8" x14ac:dyDescent="0.45">
      <c r="A15" s="3" t="s">
        <v>197</v>
      </c>
      <c r="B15" s="3" t="s">
        <v>198</v>
      </c>
      <c r="C15" s="3" t="s">
        <v>1446</v>
      </c>
      <c r="D15" s="3" t="s">
        <v>1452</v>
      </c>
      <c r="E15" s="3">
        <v>0.55000000000000004</v>
      </c>
      <c r="F15" s="3" t="s">
        <v>1454</v>
      </c>
      <c r="G15" s="3">
        <v>0.6</v>
      </c>
      <c r="H15" s="38" t="str">
        <f>IF(E15&lt;G15,"TRIGGERED","OK")</f>
        <v>TRIGGERED</v>
      </c>
    </row>
    <row r="16" spans="1:8" x14ac:dyDescent="0.45">
      <c r="A16" s="20" t="s">
        <v>204</v>
      </c>
      <c r="B16" s="20" t="s">
        <v>153</v>
      </c>
      <c r="C16" s="20" t="s">
        <v>1459</v>
      </c>
      <c r="D16" s="20" t="s">
        <v>1462</v>
      </c>
      <c r="E16" s="20">
        <v>0.5</v>
      </c>
      <c r="F16" s="20" t="s">
        <v>1454</v>
      </c>
      <c r="G16" s="20">
        <v>0.7</v>
      </c>
      <c r="H16" s="37" t="str">
        <f>IF(E16&lt;G16,"TRIGGERED","OK")</f>
        <v>TRIGGERED</v>
      </c>
    </row>
    <row r="17" spans="1:8" x14ac:dyDescent="0.45">
      <c r="A17" s="3" t="s">
        <v>204</v>
      </c>
      <c r="B17" s="3" t="s">
        <v>153</v>
      </c>
      <c r="C17" s="3" t="s">
        <v>1459</v>
      </c>
      <c r="D17" s="3" t="s">
        <v>1464</v>
      </c>
      <c r="E17" s="3">
        <v>8000</v>
      </c>
      <c r="F17" s="3" t="s">
        <v>1449</v>
      </c>
      <c r="G17" s="3">
        <v>2000</v>
      </c>
      <c r="H17" s="38" t="str">
        <f>IF(E17&gt;G17,"TRIGGERED","OK")</f>
        <v>TRIGGERED</v>
      </c>
    </row>
    <row r="18" spans="1:8" x14ac:dyDescent="0.45">
      <c r="A18" s="20" t="s">
        <v>205</v>
      </c>
      <c r="B18" s="20" t="s">
        <v>206</v>
      </c>
      <c r="C18" s="20" t="s">
        <v>1470</v>
      </c>
      <c r="D18" s="20" t="s">
        <v>1471</v>
      </c>
      <c r="E18" s="20">
        <v>0.5</v>
      </c>
      <c r="F18" s="20" t="s">
        <v>1449</v>
      </c>
      <c r="G18" s="20">
        <v>0.4</v>
      </c>
      <c r="H18" s="37" t="str">
        <f>IF(E18&gt;G18,"TRIGGERED","OK")</f>
        <v>TRIGGERED</v>
      </c>
    </row>
    <row r="19" spans="1:8" x14ac:dyDescent="0.45">
      <c r="A19" s="3" t="s">
        <v>205</v>
      </c>
      <c r="B19" s="3" t="s">
        <v>206</v>
      </c>
      <c r="C19" s="3" t="s">
        <v>1470</v>
      </c>
      <c r="D19" s="3" t="s">
        <v>1474</v>
      </c>
      <c r="E19" s="3">
        <v>34</v>
      </c>
      <c r="F19" s="3" t="s">
        <v>1449</v>
      </c>
      <c r="G19" s="3">
        <v>25</v>
      </c>
      <c r="H19" s="38" t="str">
        <f>IF(E19&gt;G19,"TRIGGERED","OK")</f>
        <v>TRIGGERED</v>
      </c>
    </row>
    <row r="20" spans="1:8" x14ac:dyDescent="0.45">
      <c r="A20" s="20" t="s">
        <v>209</v>
      </c>
      <c r="B20" s="20" t="s">
        <v>210</v>
      </c>
      <c r="C20" s="20" t="s">
        <v>1483</v>
      </c>
      <c r="D20" s="20" t="s">
        <v>1484</v>
      </c>
      <c r="E20" s="20">
        <v>0.5</v>
      </c>
      <c r="F20" s="20" t="s">
        <v>1454</v>
      </c>
      <c r="G20" s="20">
        <v>0.65</v>
      </c>
      <c r="H20" s="37" t="str">
        <f>IF(E20&lt;G20,"TRIGGERED","OK")</f>
        <v>TRIGGERED</v>
      </c>
    </row>
    <row r="21" spans="1:8" x14ac:dyDescent="0.45">
      <c r="A21" s="3" t="s">
        <v>209</v>
      </c>
      <c r="B21" s="3" t="s">
        <v>210</v>
      </c>
      <c r="C21" s="3" t="s">
        <v>1459</v>
      </c>
      <c r="D21" s="3" t="s">
        <v>1462</v>
      </c>
      <c r="E21" s="3">
        <v>0.6</v>
      </c>
      <c r="F21" s="3" t="s">
        <v>1454</v>
      </c>
      <c r="G21" s="3">
        <v>0.7</v>
      </c>
      <c r="H21" s="38" t="str">
        <f>IF(E21&lt;G21,"TRIGGERED","OK")</f>
        <v>TRIGGERED</v>
      </c>
    </row>
    <row r="22" spans="1:8" x14ac:dyDescent="0.45">
      <c r="A22" s="20" t="s">
        <v>213</v>
      </c>
      <c r="B22" s="20" t="s">
        <v>214</v>
      </c>
      <c r="C22" s="20" t="s">
        <v>1446</v>
      </c>
      <c r="D22" s="20" t="s">
        <v>1447</v>
      </c>
      <c r="E22" s="20">
        <v>0.12</v>
      </c>
      <c r="F22" s="20" t="s">
        <v>1449</v>
      </c>
      <c r="G22" s="20">
        <v>0.15</v>
      </c>
      <c r="H22" s="37" t="str">
        <f>IF(E22&gt;G22,"TRIGGERED","OK")</f>
        <v>OK</v>
      </c>
    </row>
    <row r="23" spans="1:8" ht="25.5" x14ac:dyDescent="0.45">
      <c r="A23" s="3" t="s">
        <v>213</v>
      </c>
      <c r="B23" s="3" t="s">
        <v>214</v>
      </c>
      <c r="C23" s="3" t="s">
        <v>1446</v>
      </c>
      <c r="D23" s="3" t="s">
        <v>1485</v>
      </c>
      <c r="E23" s="3">
        <v>0.9</v>
      </c>
      <c r="F23" s="3" t="s">
        <v>1454</v>
      </c>
      <c r="G23" s="3">
        <v>0.5</v>
      </c>
      <c r="H23" s="38" t="str">
        <f>IF(E23&lt;G23,"TRIGGERED","OK")</f>
        <v>OK</v>
      </c>
    </row>
  </sheetData>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3" customWidth="1"/>
    <col min="2" max="2" width="10" customWidth="1"/>
    <col min="3" max="3" width="22" customWidth="1"/>
    <col min="4" max="4" width="24" customWidth="1"/>
    <col min="5" max="5" width="30" customWidth="1"/>
    <col min="6" max="6" width="16" customWidth="1"/>
    <col min="7" max="7" width="15" customWidth="1"/>
    <col min="8" max="8" width="12" customWidth="1"/>
    <col min="9" max="9" width="13" customWidth="1"/>
    <col min="10" max="10" width="7" customWidth="1"/>
    <col min="11" max="11" width="34" customWidth="1"/>
    <col min="12" max="12" width="48" customWidth="1"/>
    <col min="13" max="13" width="18" customWidth="1"/>
  </cols>
  <sheetData>
    <row r="1" spans="1:13" ht="23.25" customHeight="1" x14ac:dyDescent="0.45">
      <c r="A1" s="15" t="s">
        <v>935</v>
      </c>
      <c r="B1" s="15" t="s">
        <v>131</v>
      </c>
      <c r="C1" s="15" t="s">
        <v>132</v>
      </c>
      <c r="D1" s="15" t="s">
        <v>1486</v>
      </c>
      <c r="E1" s="15" t="s">
        <v>1487</v>
      </c>
      <c r="F1" s="15" t="s">
        <v>937</v>
      </c>
      <c r="G1" s="15" t="s">
        <v>1488</v>
      </c>
      <c r="H1" s="15" t="s">
        <v>1489</v>
      </c>
      <c r="I1" s="15" t="s">
        <v>1490</v>
      </c>
      <c r="J1" s="15" t="s">
        <v>1491</v>
      </c>
      <c r="K1" s="15" t="s">
        <v>1492</v>
      </c>
      <c r="L1" s="15" t="s">
        <v>1493</v>
      </c>
      <c r="M1" s="15" t="s">
        <v>1189</v>
      </c>
    </row>
    <row r="2" spans="1:13" ht="23.25" customHeight="1" x14ac:dyDescent="0.45">
      <c r="A2" s="16" t="s">
        <v>1494</v>
      </c>
      <c r="B2" s="16" t="s">
        <v>152</v>
      </c>
      <c r="C2" s="16" t="s">
        <v>153</v>
      </c>
      <c r="D2" s="16" t="s">
        <v>1193</v>
      </c>
      <c r="E2" s="17" t="s">
        <v>1495</v>
      </c>
      <c r="F2" s="21">
        <v>850</v>
      </c>
      <c r="G2" s="29">
        <v>82</v>
      </c>
      <c r="H2" s="29">
        <v>90</v>
      </c>
      <c r="I2" s="29">
        <f t="shared" ref="I2:I14" si="0">ROUND(G2*0.45+H2*0.45+MIN(F2/1900*100,100)*0.1,0)</f>
        <v>82</v>
      </c>
      <c r="J2" s="29">
        <v>1</v>
      </c>
      <c r="K2" s="17" t="s">
        <v>1496</v>
      </c>
      <c r="L2" s="17" t="s">
        <v>1497</v>
      </c>
      <c r="M2" s="16" t="s">
        <v>1498</v>
      </c>
    </row>
    <row r="3" spans="1:13" ht="23.25" customHeight="1" x14ac:dyDescent="0.45">
      <c r="A3" s="18" t="s">
        <v>1499</v>
      </c>
      <c r="B3" s="18" t="s">
        <v>161</v>
      </c>
      <c r="C3" s="18" t="s">
        <v>162</v>
      </c>
      <c r="D3" s="18" t="s">
        <v>1198</v>
      </c>
      <c r="E3" s="19" t="s">
        <v>1500</v>
      </c>
      <c r="F3" s="24">
        <v>700</v>
      </c>
      <c r="G3" s="30">
        <v>78</v>
      </c>
      <c r="H3" s="30">
        <v>88</v>
      </c>
      <c r="I3" s="30">
        <f t="shared" si="0"/>
        <v>78</v>
      </c>
      <c r="J3" s="30">
        <v>2</v>
      </c>
      <c r="K3" s="19" t="s">
        <v>1501</v>
      </c>
      <c r="L3" s="19" t="s">
        <v>1502</v>
      </c>
      <c r="M3" s="18" t="s">
        <v>1498</v>
      </c>
    </row>
    <row r="4" spans="1:13" ht="23.25" customHeight="1" x14ac:dyDescent="0.45">
      <c r="A4" s="16" t="s">
        <v>1503</v>
      </c>
      <c r="B4" s="16" t="s">
        <v>142</v>
      </c>
      <c r="C4" s="16" t="s">
        <v>143</v>
      </c>
      <c r="D4" s="16" t="s">
        <v>1504</v>
      </c>
      <c r="E4" s="17" t="s">
        <v>1505</v>
      </c>
      <c r="F4" s="21">
        <v>1900</v>
      </c>
      <c r="G4" s="29">
        <v>60</v>
      </c>
      <c r="H4" s="29">
        <v>86</v>
      </c>
      <c r="I4" s="29">
        <f t="shared" si="0"/>
        <v>76</v>
      </c>
      <c r="J4" s="29">
        <v>3</v>
      </c>
      <c r="K4" s="17" t="s">
        <v>1506</v>
      </c>
      <c r="L4" s="17" t="s">
        <v>1507</v>
      </c>
      <c r="M4" s="16" t="s">
        <v>1498</v>
      </c>
    </row>
    <row r="5" spans="1:13" ht="23.25" customHeight="1" x14ac:dyDescent="0.45">
      <c r="A5" s="18" t="s">
        <v>1508</v>
      </c>
      <c r="B5" s="18" t="s">
        <v>190</v>
      </c>
      <c r="C5" s="18" t="s">
        <v>191</v>
      </c>
      <c r="D5" s="18" t="s">
        <v>1214</v>
      </c>
      <c r="E5" s="19" t="s">
        <v>1509</v>
      </c>
      <c r="F5" s="24">
        <v>640</v>
      </c>
      <c r="G5" s="30">
        <v>72</v>
      </c>
      <c r="H5" s="30">
        <v>80</v>
      </c>
      <c r="I5" s="30">
        <f t="shared" si="0"/>
        <v>72</v>
      </c>
      <c r="J5" s="30">
        <v>4</v>
      </c>
      <c r="K5" s="19" t="s">
        <v>1510</v>
      </c>
      <c r="L5" s="19" t="s">
        <v>1511</v>
      </c>
      <c r="M5" s="18" t="s">
        <v>1498</v>
      </c>
    </row>
    <row r="6" spans="1:13" ht="23.25" customHeight="1" x14ac:dyDescent="0.45">
      <c r="A6" s="16" t="s">
        <v>1512</v>
      </c>
      <c r="B6" s="16" t="s">
        <v>166</v>
      </c>
      <c r="C6" s="16" t="s">
        <v>167</v>
      </c>
      <c r="D6" s="16" t="s">
        <v>1206</v>
      </c>
      <c r="E6" s="17" t="s">
        <v>1513</v>
      </c>
      <c r="F6" s="21">
        <v>300</v>
      </c>
      <c r="G6" s="29">
        <v>70</v>
      </c>
      <c r="H6" s="29">
        <v>68</v>
      </c>
      <c r="I6" s="29">
        <f t="shared" si="0"/>
        <v>64</v>
      </c>
      <c r="J6" s="29">
        <v>5</v>
      </c>
      <c r="K6" s="17" t="s">
        <v>1514</v>
      </c>
      <c r="L6" s="17" t="s">
        <v>1515</v>
      </c>
      <c r="M6" s="16" t="s">
        <v>1498</v>
      </c>
    </row>
    <row r="7" spans="1:13" ht="23.25" customHeight="1" x14ac:dyDescent="0.45">
      <c r="A7" s="18" t="s">
        <v>1516</v>
      </c>
      <c r="B7" s="18" t="s">
        <v>171</v>
      </c>
      <c r="C7" s="18" t="s">
        <v>172</v>
      </c>
      <c r="D7" s="18" t="s">
        <v>1210</v>
      </c>
      <c r="E7" s="19" t="s">
        <v>1517</v>
      </c>
      <c r="F7" s="24">
        <v>550</v>
      </c>
      <c r="G7" s="30">
        <v>55</v>
      </c>
      <c r="H7" s="30">
        <v>72</v>
      </c>
      <c r="I7" s="30">
        <f t="shared" si="0"/>
        <v>60</v>
      </c>
      <c r="J7" s="30">
        <v>6</v>
      </c>
      <c r="K7" s="19" t="s">
        <v>1518</v>
      </c>
      <c r="L7" s="19" t="s">
        <v>1519</v>
      </c>
      <c r="M7" s="18" t="s">
        <v>1498</v>
      </c>
    </row>
    <row r="8" spans="1:13" ht="15" customHeight="1" x14ac:dyDescent="0.45">
      <c r="A8" s="16" t="s">
        <v>1520</v>
      </c>
      <c r="B8" s="16" t="s">
        <v>184</v>
      </c>
      <c r="C8" s="16" t="s">
        <v>185</v>
      </c>
      <c r="D8" s="16" t="s">
        <v>975</v>
      </c>
      <c r="E8" s="17" t="s">
        <v>1521</v>
      </c>
      <c r="F8" s="21">
        <v>410</v>
      </c>
      <c r="G8" s="29">
        <v>58</v>
      </c>
      <c r="H8" s="29">
        <v>60</v>
      </c>
      <c r="I8" s="29">
        <f t="shared" si="0"/>
        <v>55</v>
      </c>
      <c r="J8" s="29">
        <v>7</v>
      </c>
      <c r="K8" s="17" t="s">
        <v>1522</v>
      </c>
      <c r="L8" s="17" t="s">
        <v>1523</v>
      </c>
      <c r="M8" s="16" t="s">
        <v>1498</v>
      </c>
    </row>
    <row r="9" spans="1:13" ht="23.25" customHeight="1" x14ac:dyDescent="0.45">
      <c r="A9" s="18" t="s">
        <v>1524</v>
      </c>
      <c r="B9" s="18" t="s">
        <v>179</v>
      </c>
      <c r="C9" s="18" t="s">
        <v>180</v>
      </c>
      <c r="D9" s="18" t="s">
        <v>977</v>
      </c>
      <c r="E9" s="19" t="s">
        <v>1525</v>
      </c>
      <c r="F9" s="24">
        <v>380</v>
      </c>
      <c r="G9" s="30">
        <v>45</v>
      </c>
      <c r="H9" s="30">
        <v>55</v>
      </c>
      <c r="I9" s="30">
        <f t="shared" si="0"/>
        <v>47</v>
      </c>
      <c r="J9" s="30">
        <v>8</v>
      </c>
      <c r="K9" s="19" t="s">
        <v>1526</v>
      </c>
      <c r="L9" s="19" t="s">
        <v>1527</v>
      </c>
      <c r="M9" s="18" t="s">
        <v>1498</v>
      </c>
    </row>
    <row r="10" spans="1:13" ht="25.5" x14ac:dyDescent="0.45">
      <c r="A10" s="20" t="s">
        <v>1508</v>
      </c>
      <c r="B10" s="20" t="s">
        <v>197</v>
      </c>
      <c r="C10" s="20" t="s">
        <v>198</v>
      </c>
      <c r="D10" s="20" t="s">
        <v>1528</v>
      </c>
      <c r="E10" s="20" t="s">
        <v>1529</v>
      </c>
      <c r="F10" s="20">
        <v>1900</v>
      </c>
      <c r="G10" s="20">
        <v>79</v>
      </c>
      <c r="H10" s="20">
        <v>88</v>
      </c>
      <c r="I10" s="20">
        <f t="shared" si="0"/>
        <v>85</v>
      </c>
      <c r="J10" s="20">
        <v>9</v>
      </c>
      <c r="K10" s="20" t="s">
        <v>1530</v>
      </c>
      <c r="L10" s="20" t="s">
        <v>1531</v>
      </c>
      <c r="M10" s="20" t="s">
        <v>1498</v>
      </c>
    </row>
    <row r="11" spans="1:13" ht="25.5" x14ac:dyDescent="0.45">
      <c r="A11" s="3" t="s">
        <v>1512</v>
      </c>
      <c r="B11" s="3" t="s">
        <v>204</v>
      </c>
      <c r="C11" s="3" t="s">
        <v>153</v>
      </c>
      <c r="D11" s="3" t="s">
        <v>1193</v>
      </c>
      <c r="E11" s="3" t="s">
        <v>1532</v>
      </c>
      <c r="F11" s="3">
        <v>900</v>
      </c>
      <c r="G11" s="3">
        <v>82</v>
      </c>
      <c r="H11" s="3">
        <v>90</v>
      </c>
      <c r="I11" s="3">
        <f t="shared" si="0"/>
        <v>82</v>
      </c>
      <c r="J11" s="3">
        <v>10</v>
      </c>
      <c r="K11" s="3" t="s">
        <v>1533</v>
      </c>
      <c r="L11" s="3" t="s">
        <v>1534</v>
      </c>
      <c r="M11" s="3" t="s">
        <v>1498</v>
      </c>
    </row>
    <row r="12" spans="1:13" ht="25.5" x14ac:dyDescent="0.45">
      <c r="A12" s="20" t="s">
        <v>1516</v>
      </c>
      <c r="B12" s="20" t="s">
        <v>205</v>
      </c>
      <c r="C12" s="20" t="s">
        <v>206</v>
      </c>
      <c r="D12" s="20" t="s">
        <v>1535</v>
      </c>
      <c r="E12" s="20" t="s">
        <v>1536</v>
      </c>
      <c r="F12" s="20">
        <v>750</v>
      </c>
      <c r="G12" s="20">
        <v>70</v>
      </c>
      <c r="H12" s="20">
        <v>80</v>
      </c>
      <c r="I12" s="20">
        <f t="shared" si="0"/>
        <v>71</v>
      </c>
      <c r="J12" s="20">
        <v>12</v>
      </c>
      <c r="K12" s="20" t="s">
        <v>1537</v>
      </c>
      <c r="L12" s="20" t="s">
        <v>1538</v>
      </c>
      <c r="M12" s="20" t="s">
        <v>1498</v>
      </c>
    </row>
    <row r="13" spans="1:13" ht="38.25" x14ac:dyDescent="0.45">
      <c r="A13" s="3" t="s">
        <v>1520</v>
      </c>
      <c r="B13" s="3" t="s">
        <v>209</v>
      </c>
      <c r="C13" s="3" t="s">
        <v>210</v>
      </c>
      <c r="D13" s="3" t="s">
        <v>1539</v>
      </c>
      <c r="E13" s="3" t="s">
        <v>1540</v>
      </c>
      <c r="F13" s="3">
        <v>850</v>
      </c>
      <c r="G13" s="3">
        <v>80</v>
      </c>
      <c r="H13" s="3">
        <v>85</v>
      </c>
      <c r="I13" s="3">
        <f t="shared" si="0"/>
        <v>79</v>
      </c>
      <c r="J13" s="3">
        <v>11</v>
      </c>
      <c r="K13" s="3" t="s">
        <v>1541</v>
      </c>
      <c r="L13" s="3" t="s">
        <v>1542</v>
      </c>
      <c r="M13" s="3" t="s">
        <v>1498</v>
      </c>
    </row>
    <row r="14" spans="1:13" ht="25.5" x14ac:dyDescent="0.45">
      <c r="A14" s="20" t="s">
        <v>1524</v>
      </c>
      <c r="B14" s="20" t="s">
        <v>213</v>
      </c>
      <c r="C14" s="20" t="s">
        <v>214</v>
      </c>
      <c r="D14" s="20" t="s">
        <v>1543</v>
      </c>
      <c r="E14" s="20" t="s">
        <v>1544</v>
      </c>
      <c r="F14" s="20">
        <v>600</v>
      </c>
      <c r="G14" s="20">
        <v>45</v>
      </c>
      <c r="H14" s="20">
        <v>60</v>
      </c>
      <c r="I14" s="20">
        <f t="shared" si="0"/>
        <v>50</v>
      </c>
      <c r="J14" s="20">
        <v>13</v>
      </c>
      <c r="K14" s="20" t="s">
        <v>1545</v>
      </c>
      <c r="L14" s="20" t="s">
        <v>1546</v>
      </c>
      <c r="M14" s="20" t="s">
        <v>1498</v>
      </c>
    </row>
  </sheetData>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9"/>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2" customWidth="1"/>
    <col min="2" max="2" width="13" customWidth="1"/>
    <col min="3" max="3" width="10" customWidth="1"/>
    <col min="4" max="4" width="24" customWidth="1"/>
    <col min="5" max="5" width="22" customWidth="1"/>
    <col min="6" max="6" width="16" customWidth="1"/>
    <col min="7" max="7" width="13" customWidth="1"/>
    <col min="8" max="8" width="22" customWidth="1"/>
    <col min="9" max="9" width="26" customWidth="1"/>
  </cols>
  <sheetData>
    <row r="1" spans="1:9" ht="23.25" customHeight="1" x14ac:dyDescent="0.45">
      <c r="A1" s="15" t="s">
        <v>1547</v>
      </c>
      <c r="B1" s="15" t="s">
        <v>935</v>
      </c>
      <c r="C1" s="15" t="s">
        <v>131</v>
      </c>
      <c r="D1" s="15" t="s">
        <v>132</v>
      </c>
      <c r="E1" s="15" t="s">
        <v>1486</v>
      </c>
      <c r="F1" s="15" t="s">
        <v>1548</v>
      </c>
      <c r="G1" s="15" t="s">
        <v>1549</v>
      </c>
      <c r="H1" s="15" t="s">
        <v>1550</v>
      </c>
      <c r="I1" s="15" t="s">
        <v>1551</v>
      </c>
    </row>
    <row r="2" spans="1:9" ht="15" customHeight="1" x14ac:dyDescent="0.45">
      <c r="A2" s="16" t="s">
        <v>1552</v>
      </c>
      <c r="B2" s="16" t="s">
        <v>1494</v>
      </c>
      <c r="C2" s="16" t="s">
        <v>152</v>
      </c>
      <c r="D2" s="16" t="s">
        <v>153</v>
      </c>
      <c r="E2" s="16" t="s">
        <v>1193</v>
      </c>
      <c r="F2" s="16" t="s">
        <v>263</v>
      </c>
      <c r="G2" s="16" t="s">
        <v>311</v>
      </c>
      <c r="H2" s="16" t="s">
        <v>1193</v>
      </c>
      <c r="I2" s="17" t="s">
        <v>1191</v>
      </c>
    </row>
    <row r="3" spans="1:9" ht="15" customHeight="1" x14ac:dyDescent="0.45">
      <c r="A3" s="18" t="s">
        <v>1553</v>
      </c>
      <c r="B3" s="18" t="s">
        <v>1499</v>
      </c>
      <c r="C3" s="18" t="s">
        <v>161</v>
      </c>
      <c r="D3" s="18" t="s">
        <v>162</v>
      </c>
      <c r="E3" s="18" t="s">
        <v>1198</v>
      </c>
      <c r="F3" s="18" t="s">
        <v>268</v>
      </c>
      <c r="G3" s="18" t="s">
        <v>311</v>
      </c>
      <c r="H3" s="18" t="s">
        <v>1198</v>
      </c>
      <c r="I3" s="19" t="s">
        <v>1196</v>
      </c>
    </row>
    <row r="4" spans="1:9" ht="15" customHeight="1" x14ac:dyDescent="0.45">
      <c r="A4" s="16" t="s">
        <v>1554</v>
      </c>
      <c r="B4" s="16" t="s">
        <v>1503</v>
      </c>
      <c r="C4" s="16" t="s">
        <v>142</v>
      </c>
      <c r="D4" s="16" t="s">
        <v>143</v>
      </c>
      <c r="E4" s="16" t="s">
        <v>1504</v>
      </c>
      <c r="F4" s="16" t="s">
        <v>263</v>
      </c>
      <c r="G4" s="16" t="s">
        <v>311</v>
      </c>
      <c r="H4" s="16" t="s">
        <v>1504</v>
      </c>
      <c r="I4" s="17" t="s">
        <v>1200</v>
      </c>
    </row>
    <row r="5" spans="1:9" ht="25.5" x14ac:dyDescent="0.45">
      <c r="A5" s="3" t="s">
        <v>1555</v>
      </c>
      <c r="B5" s="3" t="s">
        <v>1508</v>
      </c>
      <c r="C5" s="3" t="s">
        <v>197</v>
      </c>
      <c r="D5" s="3" t="s">
        <v>198</v>
      </c>
      <c r="E5" s="3" t="s">
        <v>1528</v>
      </c>
      <c r="F5" s="3" t="s">
        <v>278</v>
      </c>
      <c r="G5" s="3" t="s">
        <v>357</v>
      </c>
      <c r="H5" s="3" t="s">
        <v>1202</v>
      </c>
      <c r="I5" s="3" t="s">
        <v>1200</v>
      </c>
    </row>
    <row r="6" spans="1:9" x14ac:dyDescent="0.45">
      <c r="A6" s="20" t="s">
        <v>1556</v>
      </c>
      <c r="B6" s="20" t="s">
        <v>1512</v>
      </c>
      <c r="C6" s="20" t="s">
        <v>204</v>
      </c>
      <c r="D6" s="20" t="s">
        <v>153</v>
      </c>
      <c r="E6" s="20" t="s">
        <v>1193</v>
      </c>
      <c r="F6" s="20" t="s">
        <v>268</v>
      </c>
      <c r="G6" s="20" t="s">
        <v>357</v>
      </c>
      <c r="H6" s="20" t="s">
        <v>1193</v>
      </c>
      <c r="I6" s="20" t="s">
        <v>1191</v>
      </c>
    </row>
    <row r="7" spans="1:9" ht="25.5" x14ac:dyDescent="0.45">
      <c r="A7" s="3" t="s">
        <v>1557</v>
      </c>
      <c r="B7" s="3" t="s">
        <v>1516</v>
      </c>
      <c r="C7" s="3" t="s">
        <v>205</v>
      </c>
      <c r="D7" s="3" t="s">
        <v>206</v>
      </c>
      <c r="E7" s="3" t="s">
        <v>1535</v>
      </c>
      <c r="F7" s="3" t="s">
        <v>281</v>
      </c>
      <c r="G7" s="3" t="s">
        <v>357</v>
      </c>
      <c r="H7" s="3" t="s">
        <v>1198</v>
      </c>
      <c r="I7" s="3" t="s">
        <v>1196</v>
      </c>
    </row>
    <row r="8" spans="1:9" x14ac:dyDescent="0.45">
      <c r="A8" s="20" t="s">
        <v>1558</v>
      </c>
      <c r="B8" s="20" t="s">
        <v>1520</v>
      </c>
      <c r="C8" s="20" t="s">
        <v>209</v>
      </c>
      <c r="D8" s="20" t="s">
        <v>210</v>
      </c>
      <c r="E8" s="20" t="s">
        <v>1539</v>
      </c>
      <c r="F8" s="20" t="s">
        <v>281</v>
      </c>
      <c r="G8" s="20" t="s">
        <v>357</v>
      </c>
      <c r="H8" s="20" t="s">
        <v>1224</v>
      </c>
      <c r="I8" s="20" t="s">
        <v>1222</v>
      </c>
    </row>
    <row r="9" spans="1:9" ht="25.5" x14ac:dyDescent="0.45">
      <c r="A9" s="3" t="s">
        <v>1559</v>
      </c>
      <c r="B9" s="3" t="s">
        <v>1524</v>
      </c>
      <c r="C9" s="3" t="s">
        <v>213</v>
      </c>
      <c r="D9" s="3" t="s">
        <v>214</v>
      </c>
      <c r="E9" s="3" t="s">
        <v>1543</v>
      </c>
      <c r="F9" s="3" t="s">
        <v>281</v>
      </c>
      <c r="G9" s="3" t="s">
        <v>357</v>
      </c>
      <c r="H9" s="3" t="s">
        <v>1560</v>
      </c>
      <c r="I9" s="3" t="s">
        <v>1561</v>
      </c>
    </row>
  </sheetData>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G9"/>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2" customWidth="1"/>
    <col min="2" max="2" width="10" customWidth="1"/>
    <col min="3" max="3" width="24" customWidth="1"/>
    <col min="4" max="4" width="50" customWidth="1"/>
    <col min="5" max="5" width="26" customWidth="1"/>
    <col min="6" max="7" width="44" customWidth="1"/>
  </cols>
  <sheetData>
    <row r="1" spans="1:7" ht="23.25" customHeight="1" x14ac:dyDescent="0.45">
      <c r="A1" s="15" t="s">
        <v>1547</v>
      </c>
      <c r="B1" s="15" t="s">
        <v>131</v>
      </c>
      <c r="C1" s="15" t="s">
        <v>132</v>
      </c>
      <c r="D1" s="15" t="s">
        <v>1562</v>
      </c>
      <c r="E1" s="15" t="s">
        <v>1563</v>
      </c>
      <c r="F1" s="15" t="s">
        <v>1564</v>
      </c>
      <c r="G1" s="15" t="s">
        <v>1565</v>
      </c>
    </row>
    <row r="2" spans="1:7" ht="34.5" customHeight="1" x14ac:dyDescent="0.45">
      <c r="A2" s="16" t="s">
        <v>1552</v>
      </c>
      <c r="B2" s="16" t="s">
        <v>152</v>
      </c>
      <c r="C2" s="16" t="s">
        <v>153</v>
      </c>
      <c r="D2" s="17" t="s">
        <v>1566</v>
      </c>
      <c r="E2" s="17" t="s">
        <v>1567</v>
      </c>
      <c r="F2" s="17" t="s">
        <v>1568</v>
      </c>
      <c r="G2" s="17" t="s">
        <v>1569</v>
      </c>
    </row>
    <row r="3" spans="1:7" ht="34.5" customHeight="1" x14ac:dyDescent="0.45">
      <c r="A3" s="18" t="s">
        <v>1553</v>
      </c>
      <c r="B3" s="18" t="s">
        <v>161</v>
      </c>
      <c r="C3" s="18" t="s">
        <v>162</v>
      </c>
      <c r="D3" s="19" t="s">
        <v>1570</v>
      </c>
      <c r="E3" s="19" t="s">
        <v>1571</v>
      </c>
      <c r="F3" s="19" t="s">
        <v>1572</v>
      </c>
      <c r="G3" s="19" t="s">
        <v>1573</v>
      </c>
    </row>
    <row r="4" spans="1:7" ht="34.5" customHeight="1" x14ac:dyDescent="0.45">
      <c r="A4" s="16" t="s">
        <v>1554</v>
      </c>
      <c r="B4" s="16" t="s">
        <v>142</v>
      </c>
      <c r="C4" s="16" t="s">
        <v>143</v>
      </c>
      <c r="D4" s="17" t="s">
        <v>1574</v>
      </c>
      <c r="E4" s="17" t="s">
        <v>1575</v>
      </c>
      <c r="F4" s="17" t="s">
        <v>1576</v>
      </c>
      <c r="G4" s="17" t="s">
        <v>1577</v>
      </c>
    </row>
    <row r="5" spans="1:7" ht="38.25" x14ac:dyDescent="0.45">
      <c r="A5" s="3" t="s">
        <v>1555</v>
      </c>
      <c r="B5" s="3" t="s">
        <v>197</v>
      </c>
      <c r="C5" s="3" t="s">
        <v>198</v>
      </c>
      <c r="D5" s="3" t="s">
        <v>1578</v>
      </c>
      <c r="E5" s="3" t="s">
        <v>1575</v>
      </c>
      <c r="F5" s="3" t="s">
        <v>1579</v>
      </c>
      <c r="G5" s="3" t="s">
        <v>1580</v>
      </c>
    </row>
    <row r="6" spans="1:7" ht="25.5" x14ac:dyDescent="0.45">
      <c r="A6" s="20" t="s">
        <v>1556</v>
      </c>
      <c r="B6" s="20" t="s">
        <v>204</v>
      </c>
      <c r="C6" s="20" t="s">
        <v>153</v>
      </c>
      <c r="D6" s="20" t="s">
        <v>1581</v>
      </c>
      <c r="E6" s="20" t="s">
        <v>1567</v>
      </c>
      <c r="F6" s="20" t="s">
        <v>1582</v>
      </c>
      <c r="G6" s="20" t="s">
        <v>1583</v>
      </c>
    </row>
    <row r="7" spans="1:7" ht="38.25" x14ac:dyDescent="0.45">
      <c r="A7" s="3" t="s">
        <v>1557</v>
      </c>
      <c r="B7" s="3" t="s">
        <v>205</v>
      </c>
      <c r="C7" s="3" t="s">
        <v>206</v>
      </c>
      <c r="D7" s="3" t="s">
        <v>1584</v>
      </c>
      <c r="E7" s="3" t="s">
        <v>1585</v>
      </c>
      <c r="F7" s="3" t="s">
        <v>1586</v>
      </c>
      <c r="G7" s="3" t="s">
        <v>1587</v>
      </c>
    </row>
    <row r="8" spans="1:7" ht="25.5" x14ac:dyDescent="0.45">
      <c r="A8" s="20" t="s">
        <v>1558</v>
      </c>
      <c r="B8" s="20" t="s">
        <v>209</v>
      </c>
      <c r="C8" s="20" t="s">
        <v>210</v>
      </c>
      <c r="D8" s="20" t="s">
        <v>1588</v>
      </c>
      <c r="E8" s="20" t="s">
        <v>1589</v>
      </c>
      <c r="F8" s="20" t="s">
        <v>1590</v>
      </c>
      <c r="G8" s="20" t="s">
        <v>1591</v>
      </c>
    </row>
    <row r="9" spans="1:7" ht="38.25" x14ac:dyDescent="0.45">
      <c r="A9" s="3" t="s">
        <v>1559</v>
      </c>
      <c r="B9" s="3" t="s">
        <v>213</v>
      </c>
      <c r="C9" s="3" t="s">
        <v>214</v>
      </c>
      <c r="D9" s="3" t="s">
        <v>1592</v>
      </c>
      <c r="E9" s="3" t="s">
        <v>1593</v>
      </c>
      <c r="F9" s="3" t="s">
        <v>1594</v>
      </c>
      <c r="G9" s="3" t="s">
        <v>1595</v>
      </c>
    </row>
  </sheetData>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9"/>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44" customWidth="1"/>
    <col min="4" max="4" width="28" customWidth="1"/>
    <col min="5" max="5" width="26" customWidth="1"/>
    <col min="6" max="7" width="34" customWidth="1"/>
  </cols>
  <sheetData>
    <row r="1" spans="1:7" ht="15" customHeight="1" x14ac:dyDescent="0.45">
      <c r="A1" s="15" t="s">
        <v>131</v>
      </c>
      <c r="B1" s="15" t="s">
        <v>132</v>
      </c>
      <c r="C1" s="15" t="s">
        <v>1596</v>
      </c>
      <c r="D1" s="15" t="s">
        <v>1597</v>
      </c>
      <c r="E1" s="15" t="s">
        <v>1598</v>
      </c>
      <c r="F1" s="15" t="s">
        <v>1599</v>
      </c>
      <c r="G1" s="15" t="s">
        <v>1600</v>
      </c>
    </row>
    <row r="2" spans="1:7" ht="23.25" customHeight="1" x14ac:dyDescent="0.45">
      <c r="A2" s="16" t="s">
        <v>152</v>
      </c>
      <c r="B2" s="16" t="s">
        <v>153</v>
      </c>
      <c r="C2" s="17" t="s">
        <v>1601</v>
      </c>
      <c r="D2" s="17" t="s">
        <v>1602</v>
      </c>
      <c r="E2" s="17" t="s">
        <v>1603</v>
      </c>
      <c r="F2" s="17" t="s">
        <v>1604</v>
      </c>
      <c r="G2" s="17" t="s">
        <v>1605</v>
      </c>
    </row>
    <row r="3" spans="1:7" ht="23.25" customHeight="1" x14ac:dyDescent="0.45">
      <c r="A3" s="18" t="s">
        <v>161</v>
      </c>
      <c r="B3" s="18" t="s">
        <v>162</v>
      </c>
      <c r="C3" s="19" t="s">
        <v>1606</v>
      </c>
      <c r="D3" s="19" t="s">
        <v>1607</v>
      </c>
      <c r="E3" s="19" t="s">
        <v>1608</v>
      </c>
      <c r="F3" s="19" t="s">
        <v>1609</v>
      </c>
      <c r="G3" s="19" t="s">
        <v>1610</v>
      </c>
    </row>
    <row r="4" spans="1:7" ht="23.25" customHeight="1" x14ac:dyDescent="0.45">
      <c r="A4" s="16" t="s">
        <v>142</v>
      </c>
      <c r="B4" s="16" t="s">
        <v>143</v>
      </c>
      <c r="C4" s="17" t="s">
        <v>1611</v>
      </c>
      <c r="D4" s="17" t="s">
        <v>1612</v>
      </c>
      <c r="E4" s="17" t="s">
        <v>1613</v>
      </c>
      <c r="F4" s="17" t="s">
        <v>1614</v>
      </c>
      <c r="G4" s="17" t="s">
        <v>1615</v>
      </c>
    </row>
    <row r="5" spans="1:7" ht="38.25" x14ac:dyDescent="0.45">
      <c r="A5" s="3" t="s">
        <v>197</v>
      </c>
      <c r="B5" s="3" t="s">
        <v>198</v>
      </c>
      <c r="C5" s="3" t="s">
        <v>1616</v>
      </c>
      <c r="D5" s="3" t="s">
        <v>1617</v>
      </c>
      <c r="E5" s="3" t="s">
        <v>1618</v>
      </c>
      <c r="F5" s="3" t="s">
        <v>1619</v>
      </c>
      <c r="G5" s="3" t="s">
        <v>1620</v>
      </c>
    </row>
    <row r="6" spans="1:7" ht="25.5" x14ac:dyDescent="0.45">
      <c r="A6" s="20" t="s">
        <v>204</v>
      </c>
      <c r="B6" s="20" t="s">
        <v>153</v>
      </c>
      <c r="C6" s="20" t="s">
        <v>1601</v>
      </c>
      <c r="D6" s="20" t="s">
        <v>1621</v>
      </c>
      <c r="E6" s="20" t="s">
        <v>1603</v>
      </c>
      <c r="F6" s="20" t="s">
        <v>1604</v>
      </c>
      <c r="G6" s="20" t="s">
        <v>1605</v>
      </c>
    </row>
    <row r="7" spans="1:7" ht="38.25" x14ac:dyDescent="0.45">
      <c r="A7" s="3" t="s">
        <v>205</v>
      </c>
      <c r="B7" s="3" t="s">
        <v>206</v>
      </c>
      <c r="C7" s="3" t="s">
        <v>1622</v>
      </c>
      <c r="D7" s="3" t="s">
        <v>1623</v>
      </c>
      <c r="E7" s="3" t="s">
        <v>1624</v>
      </c>
      <c r="F7" s="3" t="s">
        <v>1625</v>
      </c>
      <c r="G7" s="3" t="s">
        <v>1626</v>
      </c>
    </row>
    <row r="8" spans="1:7" ht="25.5" x14ac:dyDescent="0.45">
      <c r="A8" s="20" t="s">
        <v>209</v>
      </c>
      <c r="B8" s="20" t="s">
        <v>210</v>
      </c>
      <c r="C8" s="20" t="s">
        <v>1627</v>
      </c>
      <c r="D8" s="20" t="s">
        <v>1628</v>
      </c>
      <c r="E8" s="20" t="s">
        <v>1629</v>
      </c>
      <c r="F8" s="20" t="s">
        <v>1630</v>
      </c>
      <c r="G8" s="20" t="s">
        <v>1631</v>
      </c>
    </row>
    <row r="9" spans="1:7" ht="25.5" x14ac:dyDescent="0.45">
      <c r="A9" s="3" t="s">
        <v>213</v>
      </c>
      <c r="B9" s="3" t="s">
        <v>214</v>
      </c>
      <c r="C9" s="3" t="s">
        <v>1632</v>
      </c>
      <c r="D9" s="3" t="s">
        <v>1633</v>
      </c>
      <c r="E9" s="3" t="s">
        <v>1634</v>
      </c>
      <c r="F9" s="3" t="s">
        <v>1635</v>
      </c>
      <c r="G9" s="3" t="s">
        <v>1636</v>
      </c>
    </row>
  </sheetData>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5"/>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30" customWidth="1"/>
    <col min="4" max="4" width="20" customWidth="1"/>
    <col min="5" max="5" width="22" customWidth="1"/>
    <col min="6" max="6" width="26" customWidth="1"/>
  </cols>
  <sheetData>
    <row r="1" spans="1:6" ht="23.25" customHeight="1" x14ac:dyDescent="0.45">
      <c r="A1" s="15" t="s">
        <v>131</v>
      </c>
      <c r="B1" s="15" t="s">
        <v>132</v>
      </c>
      <c r="C1" s="15" t="s">
        <v>822</v>
      </c>
      <c r="D1" s="15" t="s">
        <v>1637</v>
      </c>
      <c r="E1" s="15" t="s">
        <v>1638</v>
      </c>
      <c r="F1" s="15" t="s">
        <v>1639</v>
      </c>
    </row>
    <row r="2" spans="1:6" ht="15" customHeight="1" x14ac:dyDescent="0.45">
      <c r="A2" s="16" t="s">
        <v>152</v>
      </c>
      <c r="B2" s="16" t="s">
        <v>153</v>
      </c>
      <c r="C2" s="16" t="s">
        <v>1640</v>
      </c>
      <c r="D2" s="29">
        <v>55</v>
      </c>
      <c r="E2" s="17" t="s">
        <v>1641</v>
      </c>
      <c r="F2" s="17" t="s">
        <v>1642</v>
      </c>
    </row>
    <row r="3" spans="1:6" ht="15" customHeight="1" x14ac:dyDescent="0.45">
      <c r="A3" s="18" t="s">
        <v>152</v>
      </c>
      <c r="B3" s="18" t="s">
        <v>153</v>
      </c>
      <c r="C3" s="18" t="s">
        <v>1643</v>
      </c>
      <c r="D3" s="30">
        <v>30</v>
      </c>
      <c r="E3" s="19" t="s">
        <v>1644</v>
      </c>
      <c r="F3" s="19" t="s">
        <v>1645</v>
      </c>
    </row>
    <row r="4" spans="1:6" ht="15" customHeight="1" x14ac:dyDescent="0.45">
      <c r="A4" s="16" t="s">
        <v>152</v>
      </c>
      <c r="B4" s="16" t="s">
        <v>153</v>
      </c>
      <c r="C4" s="16" t="s">
        <v>1646</v>
      </c>
      <c r="D4" s="29">
        <v>15</v>
      </c>
      <c r="E4" s="17" t="s">
        <v>1647</v>
      </c>
      <c r="F4" s="17" t="s">
        <v>1648</v>
      </c>
    </row>
    <row r="5" spans="1:6" ht="15" customHeight="1" x14ac:dyDescent="0.45">
      <c r="A5" s="18" t="s">
        <v>161</v>
      </c>
      <c r="B5" s="18" t="s">
        <v>162</v>
      </c>
      <c r="C5" s="18" t="s">
        <v>1649</v>
      </c>
      <c r="D5" s="30">
        <v>60</v>
      </c>
      <c r="E5" s="19" t="s">
        <v>1650</v>
      </c>
      <c r="F5" s="19" t="s">
        <v>1651</v>
      </c>
    </row>
    <row r="6" spans="1:6" ht="15" customHeight="1" x14ac:dyDescent="0.45">
      <c r="A6" s="16" t="s">
        <v>161</v>
      </c>
      <c r="B6" s="16" t="s">
        <v>162</v>
      </c>
      <c r="C6" s="16" t="s">
        <v>1652</v>
      </c>
      <c r="D6" s="29">
        <v>25</v>
      </c>
      <c r="E6" s="17" t="s">
        <v>1653</v>
      </c>
      <c r="F6" s="17" t="s">
        <v>1654</v>
      </c>
    </row>
    <row r="7" spans="1:6" ht="15" customHeight="1" x14ac:dyDescent="0.45">
      <c r="A7" s="18" t="s">
        <v>161</v>
      </c>
      <c r="B7" s="18" t="s">
        <v>162</v>
      </c>
      <c r="C7" s="18" t="s">
        <v>1655</v>
      </c>
      <c r="D7" s="30">
        <v>15</v>
      </c>
      <c r="E7" s="19" t="s">
        <v>1656</v>
      </c>
      <c r="F7" s="19" t="s">
        <v>1657</v>
      </c>
    </row>
    <row r="8" spans="1:6" ht="15" customHeight="1" x14ac:dyDescent="0.45">
      <c r="A8" s="16" t="s">
        <v>142</v>
      </c>
      <c r="B8" s="16" t="s">
        <v>143</v>
      </c>
      <c r="C8" s="16" t="s">
        <v>1658</v>
      </c>
      <c r="D8" s="29">
        <v>70</v>
      </c>
      <c r="E8" s="17" t="s">
        <v>1659</v>
      </c>
      <c r="F8" s="17" t="s">
        <v>1660</v>
      </c>
    </row>
    <row r="9" spans="1:6" ht="15" customHeight="1" x14ac:dyDescent="0.45">
      <c r="A9" s="18" t="s">
        <v>142</v>
      </c>
      <c r="B9" s="18" t="s">
        <v>143</v>
      </c>
      <c r="C9" s="18" t="s">
        <v>1661</v>
      </c>
      <c r="D9" s="30">
        <v>20</v>
      </c>
      <c r="E9" s="19" t="s">
        <v>1662</v>
      </c>
      <c r="F9" s="19" t="s">
        <v>1663</v>
      </c>
    </row>
    <row r="10" spans="1:6" ht="15" customHeight="1" x14ac:dyDescent="0.45">
      <c r="A10" s="16" t="s">
        <v>142</v>
      </c>
      <c r="B10" s="16" t="s">
        <v>143</v>
      </c>
      <c r="C10" s="16" t="s">
        <v>1664</v>
      </c>
      <c r="D10" s="29">
        <v>10</v>
      </c>
      <c r="E10" s="17" t="s">
        <v>1665</v>
      </c>
      <c r="F10" s="17" t="s">
        <v>1666</v>
      </c>
    </row>
    <row r="11" spans="1:6" ht="25.5" x14ac:dyDescent="0.45">
      <c r="A11" s="3" t="s">
        <v>197</v>
      </c>
      <c r="B11" s="3" t="s">
        <v>198</v>
      </c>
      <c r="C11" s="3" t="s">
        <v>1667</v>
      </c>
      <c r="D11" s="3">
        <v>45</v>
      </c>
      <c r="E11" s="3" t="s">
        <v>1644</v>
      </c>
      <c r="F11" s="3" t="s">
        <v>1668</v>
      </c>
    </row>
    <row r="12" spans="1:6" x14ac:dyDescent="0.45">
      <c r="A12" s="20" t="s">
        <v>197</v>
      </c>
      <c r="B12" s="20" t="s">
        <v>198</v>
      </c>
      <c r="C12" s="20" t="s">
        <v>1669</v>
      </c>
      <c r="D12" s="20">
        <v>40</v>
      </c>
      <c r="E12" s="20" t="s">
        <v>1670</v>
      </c>
      <c r="F12" s="20" t="s">
        <v>1671</v>
      </c>
    </row>
    <row r="13" spans="1:6" x14ac:dyDescent="0.45">
      <c r="A13" s="3" t="s">
        <v>197</v>
      </c>
      <c r="B13" s="3" t="s">
        <v>198</v>
      </c>
      <c r="C13" s="3" t="s">
        <v>1672</v>
      </c>
      <c r="D13" s="3">
        <v>15</v>
      </c>
      <c r="E13" s="3" t="s">
        <v>1597</v>
      </c>
      <c r="F13" s="3" t="s">
        <v>1673</v>
      </c>
    </row>
    <row r="14" spans="1:6" x14ac:dyDescent="0.45">
      <c r="A14" s="20" t="s">
        <v>204</v>
      </c>
      <c r="B14" s="20" t="s">
        <v>153</v>
      </c>
      <c r="C14" s="20" t="s">
        <v>1640</v>
      </c>
      <c r="D14" s="20">
        <v>55</v>
      </c>
      <c r="E14" s="20" t="s">
        <v>1641</v>
      </c>
      <c r="F14" s="20" t="s">
        <v>1642</v>
      </c>
    </row>
    <row r="15" spans="1:6" x14ac:dyDescent="0.45">
      <c r="A15" s="3" t="s">
        <v>204</v>
      </c>
      <c r="B15" s="3" t="s">
        <v>153</v>
      </c>
      <c r="C15" s="3" t="s">
        <v>1643</v>
      </c>
      <c r="D15" s="3">
        <v>30</v>
      </c>
      <c r="E15" s="3" t="s">
        <v>1644</v>
      </c>
      <c r="F15" s="3" t="s">
        <v>1645</v>
      </c>
    </row>
    <row r="16" spans="1:6" ht="25.5" x14ac:dyDescent="0.45">
      <c r="A16" s="20" t="s">
        <v>204</v>
      </c>
      <c r="B16" s="20" t="s">
        <v>153</v>
      </c>
      <c r="C16" s="20" t="s">
        <v>1674</v>
      </c>
      <c r="D16" s="20">
        <v>15</v>
      </c>
      <c r="E16" s="20" t="s">
        <v>1647</v>
      </c>
      <c r="F16" s="20" t="s">
        <v>1648</v>
      </c>
    </row>
    <row r="17" spans="1:6" x14ac:dyDescent="0.45">
      <c r="A17" s="3" t="s">
        <v>205</v>
      </c>
      <c r="B17" s="3" t="s">
        <v>206</v>
      </c>
      <c r="C17" s="3" t="s">
        <v>1675</v>
      </c>
      <c r="D17" s="3">
        <v>60</v>
      </c>
      <c r="E17" s="3" t="s">
        <v>1676</v>
      </c>
      <c r="F17" s="3" t="s">
        <v>1677</v>
      </c>
    </row>
    <row r="18" spans="1:6" x14ac:dyDescent="0.45">
      <c r="A18" s="20" t="s">
        <v>205</v>
      </c>
      <c r="B18" s="20" t="s">
        <v>206</v>
      </c>
      <c r="C18" s="20" t="s">
        <v>1678</v>
      </c>
      <c r="D18" s="20">
        <v>25</v>
      </c>
      <c r="E18" s="20" t="s">
        <v>1679</v>
      </c>
      <c r="F18" s="20" t="s">
        <v>1680</v>
      </c>
    </row>
    <row r="19" spans="1:6" x14ac:dyDescent="0.45">
      <c r="A19" s="3" t="s">
        <v>205</v>
      </c>
      <c r="B19" s="3" t="s">
        <v>206</v>
      </c>
      <c r="C19" s="3" t="s">
        <v>1681</v>
      </c>
      <c r="D19" s="3">
        <v>15</v>
      </c>
      <c r="E19" s="3" t="s">
        <v>1682</v>
      </c>
      <c r="F19" s="3" t="s">
        <v>1683</v>
      </c>
    </row>
    <row r="20" spans="1:6" x14ac:dyDescent="0.45">
      <c r="A20" s="20" t="s">
        <v>209</v>
      </c>
      <c r="B20" s="20" t="s">
        <v>210</v>
      </c>
      <c r="C20" s="20" t="s">
        <v>1684</v>
      </c>
      <c r="D20" s="20">
        <v>75</v>
      </c>
      <c r="E20" s="20" t="s">
        <v>1685</v>
      </c>
      <c r="F20" s="20" t="s">
        <v>1686</v>
      </c>
    </row>
    <row r="21" spans="1:6" x14ac:dyDescent="0.45">
      <c r="A21" s="3" t="s">
        <v>209</v>
      </c>
      <c r="B21" s="3" t="s">
        <v>210</v>
      </c>
      <c r="C21" s="3" t="s">
        <v>1687</v>
      </c>
      <c r="D21" s="3">
        <v>15</v>
      </c>
      <c r="E21" s="3" t="s">
        <v>1688</v>
      </c>
      <c r="F21" s="3" t="s">
        <v>1689</v>
      </c>
    </row>
    <row r="22" spans="1:6" ht="25.5" x14ac:dyDescent="0.45">
      <c r="A22" s="20" t="s">
        <v>209</v>
      </c>
      <c r="B22" s="20" t="s">
        <v>210</v>
      </c>
      <c r="C22" s="20" t="s">
        <v>1690</v>
      </c>
      <c r="D22" s="20">
        <v>10</v>
      </c>
      <c r="E22" s="20" t="s">
        <v>1688</v>
      </c>
      <c r="F22" s="20" t="s">
        <v>1691</v>
      </c>
    </row>
    <row r="23" spans="1:6" x14ac:dyDescent="0.45">
      <c r="A23" s="3" t="s">
        <v>213</v>
      </c>
      <c r="B23" s="3" t="s">
        <v>214</v>
      </c>
      <c r="C23" s="3" t="s">
        <v>1412</v>
      </c>
      <c r="D23" s="3">
        <v>45</v>
      </c>
      <c r="E23" s="3" t="s">
        <v>1692</v>
      </c>
      <c r="F23" s="3" t="s">
        <v>1693</v>
      </c>
    </row>
    <row r="24" spans="1:6" x14ac:dyDescent="0.45">
      <c r="A24" s="20" t="s">
        <v>213</v>
      </c>
      <c r="B24" s="20" t="s">
        <v>214</v>
      </c>
      <c r="C24" s="20" t="s">
        <v>1694</v>
      </c>
      <c r="D24" s="20">
        <v>40</v>
      </c>
      <c r="E24" s="20" t="s">
        <v>1688</v>
      </c>
      <c r="F24" s="20" t="s">
        <v>1695</v>
      </c>
    </row>
    <row r="25" spans="1:6" x14ac:dyDescent="0.45">
      <c r="A25" s="3" t="s">
        <v>213</v>
      </c>
      <c r="B25" s="3" t="s">
        <v>214</v>
      </c>
      <c r="C25" s="3" t="s">
        <v>1696</v>
      </c>
      <c r="D25" s="3">
        <v>15</v>
      </c>
      <c r="E25" s="3" t="s">
        <v>1697</v>
      </c>
      <c r="F25" s="3" t="s">
        <v>1698</v>
      </c>
    </row>
  </sheetData>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30"/>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3" width="24" customWidth="1"/>
    <col min="4" max="5" width="12" customWidth="1"/>
    <col min="6" max="6" width="14" customWidth="1"/>
    <col min="7" max="7" width="40" customWidth="1"/>
  </cols>
  <sheetData>
    <row r="1" spans="1:7" ht="15" customHeight="1" x14ac:dyDescent="0.45">
      <c r="A1" s="15" t="s">
        <v>131</v>
      </c>
      <c r="B1" s="15" t="s">
        <v>132</v>
      </c>
      <c r="C1" s="15" t="s">
        <v>1391</v>
      </c>
      <c r="D1" s="15" t="s">
        <v>1362</v>
      </c>
      <c r="E1" s="15" t="s">
        <v>1363</v>
      </c>
      <c r="F1" s="15" t="s">
        <v>1699</v>
      </c>
      <c r="G1" s="15" t="s">
        <v>1234</v>
      </c>
    </row>
    <row r="2" spans="1:7" ht="15" customHeight="1" x14ac:dyDescent="0.45">
      <c r="A2" s="16" t="s">
        <v>152</v>
      </c>
      <c r="B2" s="16" t="s">
        <v>153</v>
      </c>
      <c r="C2" s="16" t="s">
        <v>1700</v>
      </c>
      <c r="D2" s="16" t="s">
        <v>1701</v>
      </c>
      <c r="E2" s="16" t="s">
        <v>1702</v>
      </c>
      <c r="F2" s="16" t="s">
        <v>1703</v>
      </c>
      <c r="G2" s="17" t="s">
        <v>1704</v>
      </c>
    </row>
    <row r="3" spans="1:7" ht="15" customHeight="1" x14ac:dyDescent="0.45">
      <c r="A3" s="18" t="s">
        <v>152</v>
      </c>
      <c r="B3" s="18" t="s">
        <v>153</v>
      </c>
      <c r="C3" s="18" t="s">
        <v>1705</v>
      </c>
      <c r="D3" s="18" t="s">
        <v>1706</v>
      </c>
      <c r="E3" s="18" t="s">
        <v>1366</v>
      </c>
      <c r="F3" s="18" t="s">
        <v>1703</v>
      </c>
      <c r="G3" s="19" t="s">
        <v>1704</v>
      </c>
    </row>
    <row r="4" spans="1:7" ht="15" customHeight="1" x14ac:dyDescent="0.45">
      <c r="A4" s="16" t="s">
        <v>152</v>
      </c>
      <c r="B4" s="16" t="s">
        <v>153</v>
      </c>
      <c r="C4" s="16" t="s">
        <v>1707</v>
      </c>
      <c r="D4" s="16" t="s">
        <v>1708</v>
      </c>
      <c r="E4" s="16" t="s">
        <v>1702</v>
      </c>
      <c r="F4" s="16" t="s">
        <v>1703</v>
      </c>
      <c r="G4" s="17" t="s">
        <v>1704</v>
      </c>
    </row>
    <row r="5" spans="1:7" ht="15" customHeight="1" x14ac:dyDescent="0.45">
      <c r="A5" s="18" t="s">
        <v>152</v>
      </c>
      <c r="B5" s="18" t="s">
        <v>153</v>
      </c>
      <c r="C5" s="18" t="s">
        <v>1709</v>
      </c>
      <c r="D5" s="18" t="s">
        <v>1710</v>
      </c>
      <c r="E5" s="18" t="s">
        <v>1702</v>
      </c>
      <c r="F5" s="18" t="s">
        <v>1703</v>
      </c>
      <c r="G5" s="19" t="s">
        <v>1704</v>
      </c>
    </row>
    <row r="6" spans="1:7" ht="15" customHeight="1" x14ac:dyDescent="0.45">
      <c r="A6" s="16" t="s">
        <v>152</v>
      </c>
      <c r="B6" s="16" t="s">
        <v>153</v>
      </c>
      <c r="C6" s="16" t="s">
        <v>1711</v>
      </c>
      <c r="D6" s="16" t="s">
        <v>1712</v>
      </c>
      <c r="E6" s="16" t="s">
        <v>1366</v>
      </c>
      <c r="F6" s="16" t="s">
        <v>1713</v>
      </c>
      <c r="G6" s="17" t="s">
        <v>1704</v>
      </c>
    </row>
    <row r="7" spans="1:7" ht="15" customHeight="1" x14ac:dyDescent="0.45">
      <c r="A7" s="18" t="s">
        <v>161</v>
      </c>
      <c r="B7" s="18" t="s">
        <v>162</v>
      </c>
      <c r="C7" s="18" t="s">
        <v>1700</v>
      </c>
      <c r="D7" s="18" t="s">
        <v>1714</v>
      </c>
      <c r="E7" s="18" t="s">
        <v>1702</v>
      </c>
      <c r="F7" s="18" t="s">
        <v>1703</v>
      </c>
      <c r="G7" s="19" t="s">
        <v>1704</v>
      </c>
    </row>
    <row r="8" spans="1:7" ht="15" customHeight="1" x14ac:dyDescent="0.45">
      <c r="A8" s="16" t="s">
        <v>161</v>
      </c>
      <c r="B8" s="16" t="s">
        <v>162</v>
      </c>
      <c r="C8" s="16" t="s">
        <v>1715</v>
      </c>
      <c r="D8" s="16" t="s">
        <v>1716</v>
      </c>
      <c r="E8" s="16" t="s">
        <v>1702</v>
      </c>
      <c r="F8" s="16" t="s">
        <v>1713</v>
      </c>
      <c r="G8" s="17" t="s">
        <v>1704</v>
      </c>
    </row>
    <row r="9" spans="1:7" ht="15" customHeight="1" x14ac:dyDescent="0.45">
      <c r="A9" s="18" t="s">
        <v>161</v>
      </c>
      <c r="B9" s="18" t="s">
        <v>162</v>
      </c>
      <c r="C9" s="18" t="s">
        <v>1402</v>
      </c>
      <c r="D9" s="18" t="s">
        <v>1717</v>
      </c>
      <c r="E9" s="18" t="s">
        <v>1366</v>
      </c>
      <c r="F9" s="18" t="s">
        <v>1718</v>
      </c>
      <c r="G9" s="19" t="s">
        <v>1704</v>
      </c>
    </row>
    <row r="10" spans="1:7" ht="15" customHeight="1" x14ac:dyDescent="0.45">
      <c r="A10" s="16" t="s">
        <v>161</v>
      </c>
      <c r="B10" s="16" t="s">
        <v>162</v>
      </c>
      <c r="C10" s="16" t="s">
        <v>1719</v>
      </c>
      <c r="D10" s="16" t="s">
        <v>679</v>
      </c>
      <c r="E10" s="16" t="s">
        <v>1720</v>
      </c>
      <c r="F10" s="16" t="s">
        <v>1713</v>
      </c>
      <c r="G10" s="17" t="s">
        <v>1704</v>
      </c>
    </row>
    <row r="11" spans="1:7" ht="15" customHeight="1" x14ac:dyDescent="0.45">
      <c r="A11" s="18" t="s">
        <v>142</v>
      </c>
      <c r="B11" s="18" t="s">
        <v>143</v>
      </c>
      <c r="C11" s="18" t="s">
        <v>1700</v>
      </c>
      <c r="D11" s="18" t="s">
        <v>1721</v>
      </c>
      <c r="E11" s="18" t="s">
        <v>1702</v>
      </c>
      <c r="F11" s="18" t="s">
        <v>1703</v>
      </c>
      <c r="G11" s="19" t="s">
        <v>1704</v>
      </c>
    </row>
    <row r="12" spans="1:7" ht="15" customHeight="1" x14ac:dyDescent="0.45">
      <c r="A12" s="16" t="s">
        <v>142</v>
      </c>
      <c r="B12" s="16" t="s">
        <v>143</v>
      </c>
      <c r="C12" s="16" t="s">
        <v>1722</v>
      </c>
      <c r="D12" s="16" t="s">
        <v>1723</v>
      </c>
      <c r="E12" s="16" t="s">
        <v>1702</v>
      </c>
      <c r="F12" s="16" t="s">
        <v>1319</v>
      </c>
      <c r="G12" s="17" t="s">
        <v>1704</v>
      </c>
    </row>
    <row r="13" spans="1:7" ht="15" customHeight="1" x14ac:dyDescent="0.45">
      <c r="A13" s="18" t="s">
        <v>142</v>
      </c>
      <c r="B13" s="18" t="s">
        <v>143</v>
      </c>
      <c r="C13" s="18" t="s">
        <v>1724</v>
      </c>
      <c r="D13" s="18" t="s">
        <v>1725</v>
      </c>
      <c r="E13" s="18" t="s">
        <v>1366</v>
      </c>
      <c r="F13" s="18" t="s">
        <v>1726</v>
      </c>
      <c r="G13" s="19" t="s">
        <v>1704</v>
      </c>
    </row>
    <row r="14" spans="1:7" ht="15" customHeight="1" x14ac:dyDescent="0.45">
      <c r="A14" s="16" t="s">
        <v>142</v>
      </c>
      <c r="B14" s="16" t="s">
        <v>143</v>
      </c>
      <c r="C14" s="16" t="s">
        <v>1727</v>
      </c>
      <c r="D14" s="16" t="s">
        <v>1728</v>
      </c>
      <c r="E14" s="16" t="s">
        <v>1366</v>
      </c>
      <c r="F14" s="16" t="s">
        <v>1713</v>
      </c>
      <c r="G14" s="17" t="s">
        <v>1704</v>
      </c>
    </row>
    <row r="15" spans="1:7" ht="15" customHeight="1" x14ac:dyDescent="0.45">
      <c r="A15" s="18" t="s">
        <v>142</v>
      </c>
      <c r="B15" s="18" t="s">
        <v>143</v>
      </c>
      <c r="C15" s="18" t="s">
        <v>1729</v>
      </c>
      <c r="D15" s="18" t="s">
        <v>1730</v>
      </c>
      <c r="E15" s="18" t="s">
        <v>1702</v>
      </c>
      <c r="F15" s="18" t="s">
        <v>1731</v>
      </c>
      <c r="G15" s="19" t="s">
        <v>1704</v>
      </c>
    </row>
    <row r="16" spans="1:7" x14ac:dyDescent="0.45">
      <c r="A16" s="20" t="s">
        <v>197</v>
      </c>
      <c r="B16" s="20" t="s">
        <v>198</v>
      </c>
      <c r="C16" s="20" t="s">
        <v>1700</v>
      </c>
      <c r="D16" s="20">
        <v>95000</v>
      </c>
      <c r="E16" s="20" t="s">
        <v>1702</v>
      </c>
      <c r="F16" s="20" t="s">
        <v>1703</v>
      </c>
      <c r="G16" s="20" t="s">
        <v>1732</v>
      </c>
    </row>
    <row r="17" spans="1:7" x14ac:dyDescent="0.45">
      <c r="A17" s="3" t="s">
        <v>197</v>
      </c>
      <c r="B17" s="3" t="s">
        <v>198</v>
      </c>
      <c r="C17" s="3" t="s">
        <v>1733</v>
      </c>
      <c r="D17" s="3">
        <v>61000</v>
      </c>
      <c r="E17" s="3" t="s">
        <v>1702</v>
      </c>
      <c r="F17" s="3" t="s">
        <v>1734</v>
      </c>
      <c r="G17" s="3" t="s">
        <v>1732</v>
      </c>
    </row>
    <row r="18" spans="1:7" x14ac:dyDescent="0.45">
      <c r="A18" s="20" t="s">
        <v>197</v>
      </c>
      <c r="B18" s="20" t="s">
        <v>198</v>
      </c>
      <c r="C18" s="20" t="s">
        <v>1735</v>
      </c>
      <c r="D18" s="20">
        <v>22700</v>
      </c>
      <c r="E18" s="20" t="s">
        <v>1702</v>
      </c>
      <c r="F18" s="20" t="s">
        <v>1734</v>
      </c>
      <c r="G18" s="20" t="s">
        <v>1732</v>
      </c>
    </row>
    <row r="19" spans="1:7" x14ac:dyDescent="0.45">
      <c r="A19" s="3" t="s">
        <v>204</v>
      </c>
      <c r="B19" s="3" t="s">
        <v>153</v>
      </c>
      <c r="C19" s="3" t="s">
        <v>1700</v>
      </c>
      <c r="D19" s="3">
        <v>28300</v>
      </c>
      <c r="E19" s="3" t="s">
        <v>1702</v>
      </c>
      <c r="F19" s="3" t="s">
        <v>1703</v>
      </c>
      <c r="G19" s="3" t="s">
        <v>1732</v>
      </c>
    </row>
    <row r="20" spans="1:7" x14ac:dyDescent="0.45">
      <c r="A20" s="20" t="s">
        <v>204</v>
      </c>
      <c r="B20" s="20" t="s">
        <v>153</v>
      </c>
      <c r="C20" s="20" t="s">
        <v>1705</v>
      </c>
      <c r="D20" s="20">
        <v>32</v>
      </c>
      <c r="E20" s="20" t="s">
        <v>1366</v>
      </c>
      <c r="F20" s="20" t="s">
        <v>1703</v>
      </c>
      <c r="G20" s="20" t="s">
        <v>1732</v>
      </c>
    </row>
    <row r="21" spans="1:7" x14ac:dyDescent="0.45">
      <c r="A21" s="3" t="s">
        <v>204</v>
      </c>
      <c r="B21" s="3" t="s">
        <v>153</v>
      </c>
      <c r="C21" s="3" t="s">
        <v>1707</v>
      </c>
      <c r="D21" s="3">
        <v>5200</v>
      </c>
      <c r="E21" s="3" t="s">
        <v>1702</v>
      </c>
      <c r="F21" s="3" t="s">
        <v>1703</v>
      </c>
      <c r="G21" s="3" t="s">
        <v>1732</v>
      </c>
    </row>
    <row r="22" spans="1:7" x14ac:dyDescent="0.45">
      <c r="A22" s="20" t="s">
        <v>205</v>
      </c>
      <c r="B22" s="20" t="s">
        <v>206</v>
      </c>
      <c r="C22" s="20" t="s">
        <v>1700</v>
      </c>
      <c r="D22" s="20">
        <v>65000</v>
      </c>
      <c r="E22" s="20" t="s">
        <v>1702</v>
      </c>
      <c r="F22" s="20" t="s">
        <v>1703</v>
      </c>
      <c r="G22" s="20" t="s">
        <v>1732</v>
      </c>
    </row>
    <row r="23" spans="1:7" x14ac:dyDescent="0.45">
      <c r="A23" s="3" t="s">
        <v>205</v>
      </c>
      <c r="B23" s="3" t="s">
        <v>206</v>
      </c>
      <c r="C23" s="3" t="s">
        <v>1736</v>
      </c>
      <c r="D23" s="3">
        <v>5497</v>
      </c>
      <c r="E23" s="3" t="s">
        <v>1702</v>
      </c>
      <c r="F23" s="3" t="s">
        <v>1737</v>
      </c>
      <c r="G23" s="3" t="s">
        <v>1732</v>
      </c>
    </row>
    <row r="24" spans="1:7" x14ac:dyDescent="0.45">
      <c r="A24" s="20" t="s">
        <v>205</v>
      </c>
      <c r="B24" s="20" t="s">
        <v>206</v>
      </c>
      <c r="C24" s="20" t="s">
        <v>1738</v>
      </c>
      <c r="D24" s="20">
        <v>13.5</v>
      </c>
      <c r="E24" s="20" t="s">
        <v>1366</v>
      </c>
      <c r="F24" s="20" t="s">
        <v>1703</v>
      </c>
      <c r="G24" s="20" t="s">
        <v>1732</v>
      </c>
    </row>
    <row r="25" spans="1:7" x14ac:dyDescent="0.45">
      <c r="A25" s="3" t="s">
        <v>209</v>
      </c>
      <c r="B25" s="3" t="s">
        <v>210</v>
      </c>
      <c r="C25" s="3" t="s">
        <v>1700</v>
      </c>
      <c r="D25" s="3">
        <v>38000</v>
      </c>
      <c r="E25" s="3" t="s">
        <v>1702</v>
      </c>
      <c r="F25" s="3" t="s">
        <v>1703</v>
      </c>
      <c r="G25" s="3" t="s">
        <v>1732</v>
      </c>
    </row>
    <row r="26" spans="1:7" x14ac:dyDescent="0.45">
      <c r="A26" s="20" t="s">
        <v>209</v>
      </c>
      <c r="B26" s="20" t="s">
        <v>210</v>
      </c>
      <c r="C26" s="20" t="s">
        <v>1739</v>
      </c>
      <c r="D26" s="20">
        <v>81</v>
      </c>
      <c r="E26" s="20" t="s">
        <v>1366</v>
      </c>
      <c r="F26" s="20" t="s">
        <v>1740</v>
      </c>
      <c r="G26" s="20" t="s">
        <v>1732</v>
      </c>
    </row>
    <row r="27" spans="1:7" x14ac:dyDescent="0.45">
      <c r="A27" s="3" t="s">
        <v>209</v>
      </c>
      <c r="B27" s="3" t="s">
        <v>210</v>
      </c>
      <c r="C27" s="3" t="s">
        <v>1409</v>
      </c>
      <c r="D27" s="3">
        <v>50</v>
      </c>
      <c r="E27" s="3" t="s">
        <v>1366</v>
      </c>
      <c r="F27" s="3" t="s">
        <v>1741</v>
      </c>
      <c r="G27" s="3" t="s">
        <v>1732</v>
      </c>
    </row>
    <row r="28" spans="1:7" x14ac:dyDescent="0.45">
      <c r="A28" s="20" t="s">
        <v>213</v>
      </c>
      <c r="B28" s="20" t="s">
        <v>214</v>
      </c>
      <c r="C28" s="20" t="s">
        <v>1700</v>
      </c>
      <c r="D28" s="20">
        <v>47000</v>
      </c>
      <c r="E28" s="20" t="s">
        <v>1702</v>
      </c>
      <c r="F28" s="20" t="s">
        <v>1703</v>
      </c>
      <c r="G28" s="20" t="s">
        <v>1732</v>
      </c>
    </row>
    <row r="29" spans="1:7" x14ac:dyDescent="0.45">
      <c r="A29" s="3" t="s">
        <v>213</v>
      </c>
      <c r="B29" s="3" t="s">
        <v>214</v>
      </c>
      <c r="C29" s="3" t="s">
        <v>1733</v>
      </c>
      <c r="D29" s="3">
        <v>33640</v>
      </c>
      <c r="E29" s="3" t="s">
        <v>1702</v>
      </c>
      <c r="F29" s="3" t="s">
        <v>1734</v>
      </c>
      <c r="G29" s="3" t="s">
        <v>1732</v>
      </c>
    </row>
    <row r="30" spans="1:7" x14ac:dyDescent="0.45">
      <c r="A30" s="20" t="s">
        <v>213</v>
      </c>
      <c r="B30" s="20" t="s">
        <v>214</v>
      </c>
      <c r="C30" s="20" t="s">
        <v>1742</v>
      </c>
      <c r="D30" s="20">
        <v>-2691</v>
      </c>
      <c r="E30" s="20" t="s">
        <v>1702</v>
      </c>
      <c r="F30" s="20" t="s">
        <v>1734</v>
      </c>
      <c r="G30" s="20" t="s">
        <v>1732</v>
      </c>
    </row>
  </sheetData>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4"/>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22" customWidth="1"/>
    <col min="4" max="4" width="12" customWidth="1"/>
    <col min="5" max="5" width="13" customWidth="1"/>
    <col min="6" max="6" width="22" customWidth="1"/>
    <col min="7" max="7" width="30" customWidth="1"/>
  </cols>
  <sheetData>
    <row r="1" spans="1:7" ht="15" customHeight="1" x14ac:dyDescent="0.45">
      <c r="A1" s="15" t="s">
        <v>131</v>
      </c>
      <c r="B1" s="15" t="s">
        <v>132</v>
      </c>
      <c r="C1" s="15" t="s">
        <v>1415</v>
      </c>
      <c r="D1" s="15" t="s">
        <v>1743</v>
      </c>
      <c r="E1" s="15" t="s">
        <v>1744</v>
      </c>
      <c r="F1" s="15" t="s">
        <v>1745</v>
      </c>
      <c r="G1" s="15" t="s">
        <v>1746</v>
      </c>
    </row>
    <row r="2" spans="1:7" ht="15" customHeight="1" x14ac:dyDescent="0.45">
      <c r="A2" s="16" t="s">
        <v>152</v>
      </c>
      <c r="B2" s="16" t="s">
        <v>153</v>
      </c>
      <c r="C2" s="16" t="s">
        <v>307</v>
      </c>
      <c r="D2" s="16" t="s">
        <v>308</v>
      </c>
      <c r="E2" s="29">
        <v>7</v>
      </c>
      <c r="F2" s="17" t="s">
        <v>1747</v>
      </c>
      <c r="G2" s="17" t="s">
        <v>1748</v>
      </c>
    </row>
    <row r="3" spans="1:7" ht="23.25" customHeight="1" x14ac:dyDescent="0.45">
      <c r="A3" s="18" t="s">
        <v>152</v>
      </c>
      <c r="B3" s="18" t="s">
        <v>153</v>
      </c>
      <c r="C3" s="18" t="s">
        <v>1749</v>
      </c>
      <c r="D3" s="18" t="s">
        <v>1750</v>
      </c>
      <c r="E3" s="30">
        <v>1</v>
      </c>
      <c r="F3" s="19" t="s">
        <v>1751</v>
      </c>
      <c r="G3" s="19" t="s">
        <v>1752</v>
      </c>
    </row>
    <row r="4" spans="1:7" ht="15" customHeight="1" x14ac:dyDescent="0.45">
      <c r="A4" s="16" t="s">
        <v>161</v>
      </c>
      <c r="B4" s="16" t="s">
        <v>162</v>
      </c>
      <c r="C4" s="16" t="s">
        <v>314</v>
      </c>
      <c r="D4" s="16" t="s">
        <v>308</v>
      </c>
      <c r="E4" s="29">
        <v>2</v>
      </c>
      <c r="F4" s="17" t="s">
        <v>1753</v>
      </c>
      <c r="G4" s="17" t="s">
        <v>1754</v>
      </c>
    </row>
    <row r="5" spans="1:7" ht="15" customHeight="1" x14ac:dyDescent="0.45">
      <c r="A5" s="18" t="s">
        <v>161</v>
      </c>
      <c r="B5" s="18" t="s">
        <v>162</v>
      </c>
      <c r="C5" s="18" t="s">
        <v>1755</v>
      </c>
      <c r="D5" s="18" t="s">
        <v>1756</v>
      </c>
      <c r="E5" s="30">
        <v>4</v>
      </c>
      <c r="F5" s="19" t="s">
        <v>1757</v>
      </c>
      <c r="G5" s="19" t="s">
        <v>1758</v>
      </c>
    </row>
    <row r="6" spans="1:7" ht="15" customHeight="1" x14ac:dyDescent="0.45">
      <c r="A6" s="16" t="s">
        <v>142</v>
      </c>
      <c r="B6" s="16" t="s">
        <v>143</v>
      </c>
      <c r="C6" s="16" t="s">
        <v>320</v>
      </c>
      <c r="D6" s="16" t="s">
        <v>308</v>
      </c>
      <c r="E6" s="29">
        <v>12</v>
      </c>
      <c r="F6" s="17" t="s">
        <v>1759</v>
      </c>
      <c r="G6" s="17" t="s">
        <v>1760</v>
      </c>
    </row>
    <row r="7" spans="1:7" ht="15" customHeight="1" x14ac:dyDescent="0.45">
      <c r="A7" s="18" t="s">
        <v>142</v>
      </c>
      <c r="B7" s="18" t="s">
        <v>143</v>
      </c>
      <c r="C7" s="18" t="s">
        <v>1761</v>
      </c>
      <c r="D7" s="18" t="s">
        <v>1750</v>
      </c>
      <c r="E7" s="30">
        <v>5</v>
      </c>
      <c r="F7" s="19" t="s">
        <v>1762</v>
      </c>
      <c r="G7" s="19" t="s">
        <v>1763</v>
      </c>
    </row>
    <row r="8" spans="1:7" x14ac:dyDescent="0.45">
      <c r="A8" s="20" t="s">
        <v>197</v>
      </c>
      <c r="B8" s="20" t="s">
        <v>198</v>
      </c>
      <c r="C8" s="20" t="s">
        <v>1428</v>
      </c>
      <c r="D8" s="20" t="s">
        <v>308</v>
      </c>
      <c r="E8" s="20">
        <v>2</v>
      </c>
      <c r="F8" s="20" t="s">
        <v>1764</v>
      </c>
      <c r="G8" s="20" t="s">
        <v>1765</v>
      </c>
    </row>
    <row r="9" spans="1:7" x14ac:dyDescent="0.45">
      <c r="A9" s="3" t="s">
        <v>197</v>
      </c>
      <c r="B9" s="3" t="s">
        <v>198</v>
      </c>
      <c r="C9" s="3" t="s">
        <v>1766</v>
      </c>
      <c r="D9" s="3" t="s">
        <v>1750</v>
      </c>
      <c r="E9" s="3">
        <v>2</v>
      </c>
      <c r="F9" s="3" t="s">
        <v>1767</v>
      </c>
      <c r="G9" s="3" t="s">
        <v>1768</v>
      </c>
    </row>
    <row r="10" spans="1:7" x14ac:dyDescent="0.45">
      <c r="A10" s="20" t="s">
        <v>204</v>
      </c>
      <c r="B10" s="20" t="s">
        <v>153</v>
      </c>
      <c r="C10" s="20" t="s">
        <v>307</v>
      </c>
      <c r="D10" s="20" t="s">
        <v>308</v>
      </c>
      <c r="E10" s="20">
        <v>7</v>
      </c>
      <c r="F10" s="20" t="s">
        <v>1747</v>
      </c>
      <c r="G10" s="20" t="s">
        <v>1748</v>
      </c>
    </row>
    <row r="11" spans="1:7" ht="25.5" x14ac:dyDescent="0.45">
      <c r="A11" s="3" t="s">
        <v>204</v>
      </c>
      <c r="B11" s="3" t="s">
        <v>153</v>
      </c>
      <c r="C11" s="3" t="s">
        <v>1749</v>
      </c>
      <c r="D11" s="3" t="s">
        <v>1750</v>
      </c>
      <c r="E11" s="3">
        <v>1</v>
      </c>
      <c r="F11" s="3" t="s">
        <v>1751</v>
      </c>
      <c r="G11" s="3" t="s">
        <v>1752</v>
      </c>
    </row>
    <row r="12" spans="1:7" x14ac:dyDescent="0.45">
      <c r="A12" s="20" t="s">
        <v>205</v>
      </c>
      <c r="B12" s="20" t="s">
        <v>206</v>
      </c>
      <c r="C12" s="20" t="s">
        <v>373</v>
      </c>
      <c r="D12" s="20" t="s">
        <v>308</v>
      </c>
      <c r="E12" s="20">
        <v>3</v>
      </c>
      <c r="F12" s="20" t="s">
        <v>1769</v>
      </c>
      <c r="G12" s="20" t="s">
        <v>1770</v>
      </c>
    </row>
    <row r="13" spans="1:7" x14ac:dyDescent="0.45">
      <c r="A13" s="3" t="s">
        <v>209</v>
      </c>
      <c r="B13" s="3" t="s">
        <v>210</v>
      </c>
      <c r="C13" s="3" t="s">
        <v>384</v>
      </c>
      <c r="D13" s="3" t="s">
        <v>308</v>
      </c>
      <c r="E13" s="3">
        <v>1</v>
      </c>
      <c r="F13" s="3" t="s">
        <v>1771</v>
      </c>
      <c r="G13" s="3" t="s">
        <v>1772</v>
      </c>
    </row>
    <row r="14" spans="1:7" x14ac:dyDescent="0.45">
      <c r="A14" s="20" t="s">
        <v>213</v>
      </c>
      <c r="B14" s="20" t="s">
        <v>214</v>
      </c>
      <c r="C14" s="20" t="s">
        <v>395</v>
      </c>
      <c r="D14" s="20" t="s">
        <v>308</v>
      </c>
      <c r="E14" s="20">
        <v>7</v>
      </c>
      <c r="F14" s="20" t="s">
        <v>1773</v>
      </c>
      <c r="G14" s="20" t="s">
        <v>1774</v>
      </c>
    </row>
  </sheetData>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26" customWidth="1"/>
    <col min="4" max="5" width="18" customWidth="1"/>
  </cols>
  <sheetData>
    <row r="1" spans="1:5" ht="15" customHeight="1" x14ac:dyDescent="0.45">
      <c r="A1" s="15" t="s">
        <v>131</v>
      </c>
      <c r="B1" s="15" t="s">
        <v>132</v>
      </c>
      <c r="C1" s="15" t="s">
        <v>1775</v>
      </c>
      <c r="D1" s="15" t="s">
        <v>1776</v>
      </c>
      <c r="E1" s="15" t="s">
        <v>1777</v>
      </c>
    </row>
    <row r="2" spans="1:5" ht="15" customHeight="1" x14ac:dyDescent="0.45">
      <c r="A2" s="16" t="s">
        <v>152</v>
      </c>
      <c r="B2" s="16" t="s">
        <v>153</v>
      </c>
      <c r="C2" s="16" t="s">
        <v>1778</v>
      </c>
      <c r="D2" s="16" t="s">
        <v>1779</v>
      </c>
      <c r="E2" s="16" t="s">
        <v>1780</v>
      </c>
    </row>
    <row r="3" spans="1:5" ht="15" customHeight="1" x14ac:dyDescent="0.45">
      <c r="A3" s="18" t="s">
        <v>152</v>
      </c>
      <c r="B3" s="18" t="s">
        <v>153</v>
      </c>
      <c r="C3" s="18" t="s">
        <v>1781</v>
      </c>
      <c r="D3" s="18" t="s">
        <v>1782</v>
      </c>
      <c r="E3" s="18" t="s">
        <v>1783</v>
      </c>
    </row>
    <row r="4" spans="1:5" ht="15" customHeight="1" x14ac:dyDescent="0.45">
      <c r="A4" s="16" t="s">
        <v>152</v>
      </c>
      <c r="B4" s="16" t="s">
        <v>153</v>
      </c>
      <c r="C4" s="16" t="s">
        <v>1784</v>
      </c>
      <c r="D4" s="16" t="s">
        <v>1785</v>
      </c>
      <c r="E4" s="16" t="s">
        <v>1786</v>
      </c>
    </row>
    <row r="5" spans="1:5" ht="15" customHeight="1" x14ac:dyDescent="0.45">
      <c r="A5" s="18" t="s">
        <v>161</v>
      </c>
      <c r="B5" s="18" t="s">
        <v>162</v>
      </c>
      <c r="C5" s="18" t="s">
        <v>1787</v>
      </c>
      <c r="D5" s="18" t="s">
        <v>164</v>
      </c>
      <c r="E5" s="18" t="s">
        <v>1788</v>
      </c>
    </row>
    <row r="6" spans="1:5" ht="15" customHeight="1" x14ac:dyDescent="0.45">
      <c r="A6" s="16" t="s">
        <v>142</v>
      </c>
      <c r="B6" s="16" t="s">
        <v>143</v>
      </c>
      <c r="C6" s="16" t="s">
        <v>1789</v>
      </c>
      <c r="D6" s="16" t="s">
        <v>1790</v>
      </c>
      <c r="E6" s="16" t="s">
        <v>1791</v>
      </c>
    </row>
    <row r="7" spans="1:5" ht="15" customHeight="1" x14ac:dyDescent="0.45">
      <c r="A7" s="18" t="s">
        <v>142</v>
      </c>
      <c r="B7" s="18" t="s">
        <v>143</v>
      </c>
      <c r="C7" s="18" t="s">
        <v>1792</v>
      </c>
      <c r="D7" s="18" t="s">
        <v>1793</v>
      </c>
      <c r="E7" s="18" t="s">
        <v>1794</v>
      </c>
    </row>
    <row r="8" spans="1:5" ht="25.5" x14ac:dyDescent="0.45">
      <c r="A8" s="20" t="s">
        <v>197</v>
      </c>
      <c r="B8" s="20" t="s">
        <v>198</v>
      </c>
      <c r="C8" s="20" t="s">
        <v>1795</v>
      </c>
      <c r="D8" s="20" t="s">
        <v>1796</v>
      </c>
      <c r="E8" s="20">
        <v>2018</v>
      </c>
    </row>
    <row r="9" spans="1:5" x14ac:dyDescent="0.45">
      <c r="A9" s="3" t="s">
        <v>197</v>
      </c>
      <c r="B9" s="3" t="s">
        <v>198</v>
      </c>
      <c r="C9" s="3" t="s">
        <v>1797</v>
      </c>
      <c r="D9" s="3" t="s">
        <v>1798</v>
      </c>
      <c r="E9" s="3">
        <v>2010</v>
      </c>
    </row>
    <row r="10" spans="1:5" x14ac:dyDescent="0.45">
      <c r="A10" s="20" t="s">
        <v>204</v>
      </c>
      <c r="B10" s="20" t="s">
        <v>153</v>
      </c>
      <c r="C10" s="20" t="s">
        <v>1778</v>
      </c>
      <c r="D10" s="20" t="s">
        <v>1779</v>
      </c>
      <c r="E10" s="20">
        <v>2010</v>
      </c>
    </row>
    <row r="11" spans="1:5" x14ac:dyDescent="0.45">
      <c r="A11" s="3" t="s">
        <v>204</v>
      </c>
      <c r="B11" s="3" t="s">
        <v>153</v>
      </c>
      <c r="C11" s="3" t="s">
        <v>1781</v>
      </c>
      <c r="D11" s="3" t="s">
        <v>1782</v>
      </c>
      <c r="E11" s="3">
        <v>2011</v>
      </c>
    </row>
    <row r="12" spans="1:5" x14ac:dyDescent="0.45">
      <c r="A12" s="20" t="s">
        <v>205</v>
      </c>
      <c r="B12" s="20" t="s">
        <v>206</v>
      </c>
      <c r="C12" s="20" t="s">
        <v>1799</v>
      </c>
      <c r="D12" s="20" t="s">
        <v>1800</v>
      </c>
      <c r="E12" s="20">
        <v>2005</v>
      </c>
    </row>
    <row r="13" spans="1:5" x14ac:dyDescent="0.45">
      <c r="A13" s="3" t="s">
        <v>205</v>
      </c>
      <c r="B13" s="3" t="s">
        <v>206</v>
      </c>
      <c r="C13" s="3" t="s">
        <v>1801</v>
      </c>
      <c r="D13" s="3" t="s">
        <v>1694</v>
      </c>
      <c r="E13" s="3">
        <v>2008</v>
      </c>
    </row>
    <row r="14" spans="1:5" x14ac:dyDescent="0.45">
      <c r="A14" s="20" t="s">
        <v>209</v>
      </c>
      <c r="B14" s="20" t="s">
        <v>210</v>
      </c>
      <c r="C14" s="20" t="s">
        <v>1802</v>
      </c>
      <c r="D14" s="20" t="s">
        <v>1803</v>
      </c>
      <c r="E14" s="20">
        <v>2000</v>
      </c>
    </row>
    <row r="15" spans="1:5" x14ac:dyDescent="0.45">
      <c r="A15" s="3" t="s">
        <v>209</v>
      </c>
      <c r="B15" s="3" t="s">
        <v>210</v>
      </c>
      <c r="C15" s="3" t="s">
        <v>1804</v>
      </c>
      <c r="D15" s="3" t="s">
        <v>1805</v>
      </c>
      <c r="E15" s="3">
        <v>2003</v>
      </c>
    </row>
    <row r="16" spans="1:5" x14ac:dyDescent="0.45">
      <c r="A16" s="20" t="s">
        <v>213</v>
      </c>
      <c r="B16" s="20" t="s">
        <v>214</v>
      </c>
      <c r="C16" s="20" t="s">
        <v>1806</v>
      </c>
      <c r="D16" s="20" t="s">
        <v>1807</v>
      </c>
      <c r="E16" s="20">
        <v>2004</v>
      </c>
    </row>
    <row r="17" spans="1:5" x14ac:dyDescent="0.45">
      <c r="A17" s="3" t="s">
        <v>213</v>
      </c>
      <c r="B17" s="3" t="s">
        <v>214</v>
      </c>
      <c r="C17" s="3" t="s">
        <v>1808</v>
      </c>
      <c r="D17" s="3" t="s">
        <v>1694</v>
      </c>
      <c r="E17" s="3">
        <v>2006</v>
      </c>
    </row>
  </sheetData>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2"/>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1" customWidth="1"/>
    <col min="2" max="2" width="13" customWidth="1"/>
    <col min="3" max="3" width="34" customWidth="1"/>
    <col min="4" max="5" width="13" customWidth="1"/>
    <col min="6" max="6" width="14" customWidth="1"/>
    <col min="7" max="7" width="22" customWidth="1"/>
    <col min="8" max="8" width="44" customWidth="1"/>
  </cols>
  <sheetData>
    <row r="1" spans="1:8" ht="23.25" customHeight="1" x14ac:dyDescent="0.45">
      <c r="A1" s="15" t="s">
        <v>1809</v>
      </c>
      <c r="B1" s="15" t="s">
        <v>1810</v>
      </c>
      <c r="C1" s="15" t="s">
        <v>1743</v>
      </c>
      <c r="D1" s="15" t="s">
        <v>405</v>
      </c>
      <c r="E1" s="15" t="s">
        <v>1811</v>
      </c>
      <c r="F1" s="15" t="s">
        <v>1019</v>
      </c>
      <c r="G1" s="15" t="s">
        <v>1812</v>
      </c>
      <c r="H1" s="15" t="s">
        <v>1813</v>
      </c>
    </row>
    <row r="2" spans="1:8" ht="23.25" customHeight="1" x14ac:dyDescent="0.45">
      <c r="A2" s="16" t="s">
        <v>1814</v>
      </c>
      <c r="B2" s="16" t="s">
        <v>1815</v>
      </c>
      <c r="C2" s="16" t="s">
        <v>1816</v>
      </c>
      <c r="D2" s="16" t="s">
        <v>439</v>
      </c>
      <c r="E2" s="16" t="s">
        <v>383</v>
      </c>
      <c r="F2" s="16" t="s">
        <v>225</v>
      </c>
      <c r="G2" s="16" t="s">
        <v>1817</v>
      </c>
      <c r="H2" s="17" t="s">
        <v>1818</v>
      </c>
    </row>
    <row r="3" spans="1:8" ht="23.25" customHeight="1" x14ac:dyDescent="0.45">
      <c r="A3" s="18" t="s">
        <v>1819</v>
      </c>
      <c r="B3" s="18" t="s">
        <v>1815</v>
      </c>
      <c r="C3" s="18" t="s">
        <v>1820</v>
      </c>
      <c r="D3" s="18" t="s">
        <v>433</v>
      </c>
      <c r="E3" s="18" t="s">
        <v>343</v>
      </c>
      <c r="F3" s="18" t="s">
        <v>225</v>
      </c>
      <c r="G3" s="18" t="s">
        <v>1817</v>
      </c>
      <c r="H3" s="19" t="s">
        <v>1821</v>
      </c>
    </row>
    <row r="4" spans="1:8" ht="15" customHeight="1" x14ac:dyDescent="0.45">
      <c r="A4" s="16" t="s">
        <v>1822</v>
      </c>
      <c r="B4" s="16" t="s">
        <v>1823</v>
      </c>
      <c r="C4" s="16" t="s">
        <v>1824</v>
      </c>
      <c r="D4" s="16" t="s">
        <v>1825</v>
      </c>
      <c r="E4" s="16" t="s">
        <v>376</v>
      </c>
      <c r="F4" s="16" t="s">
        <v>225</v>
      </c>
      <c r="G4" s="16" t="s">
        <v>1817</v>
      </c>
      <c r="H4" s="17" t="s">
        <v>1826</v>
      </c>
    </row>
    <row r="5" spans="1:8" ht="15" customHeight="1" x14ac:dyDescent="0.45">
      <c r="A5" s="18" t="s">
        <v>1827</v>
      </c>
      <c r="B5" s="18" t="s">
        <v>1828</v>
      </c>
      <c r="C5" s="18" t="s">
        <v>1829</v>
      </c>
      <c r="D5" s="18" t="s">
        <v>1830</v>
      </c>
      <c r="E5" s="18" t="s">
        <v>561</v>
      </c>
      <c r="F5" s="18" t="s">
        <v>225</v>
      </c>
      <c r="G5" s="18" t="s">
        <v>1831</v>
      </c>
      <c r="H5" s="19" t="s">
        <v>1832</v>
      </c>
    </row>
    <row r="6" spans="1:8" ht="15" customHeight="1" x14ac:dyDescent="0.45">
      <c r="A6" s="16" t="s">
        <v>1833</v>
      </c>
      <c r="B6" s="16" t="s">
        <v>1828</v>
      </c>
      <c r="C6" s="16" t="s">
        <v>1834</v>
      </c>
      <c r="D6" s="16" t="s">
        <v>1830</v>
      </c>
      <c r="E6" s="16" t="s">
        <v>561</v>
      </c>
      <c r="F6" s="16" t="s">
        <v>225</v>
      </c>
      <c r="G6" s="16" t="s">
        <v>1831</v>
      </c>
      <c r="H6" s="17" t="s">
        <v>1835</v>
      </c>
    </row>
    <row r="7" spans="1:8" ht="15" customHeight="1" x14ac:dyDescent="0.45">
      <c r="A7" s="18" t="s">
        <v>1836</v>
      </c>
      <c r="B7" s="18" t="s">
        <v>1837</v>
      </c>
      <c r="C7" s="18" t="s">
        <v>1838</v>
      </c>
      <c r="D7" s="18" t="s">
        <v>1830</v>
      </c>
      <c r="E7" s="18" t="s">
        <v>580</v>
      </c>
      <c r="F7" s="18" t="s">
        <v>225</v>
      </c>
      <c r="G7" s="18" t="s">
        <v>1839</v>
      </c>
      <c r="H7" s="19" t="s">
        <v>1840</v>
      </c>
    </row>
    <row r="8" spans="1:8" ht="15" customHeight="1" x14ac:dyDescent="0.45">
      <c r="A8" s="16" t="s">
        <v>1841</v>
      </c>
      <c r="B8" s="16" t="s">
        <v>1815</v>
      </c>
      <c r="C8" s="16" t="s">
        <v>1842</v>
      </c>
      <c r="D8" s="16" t="s">
        <v>1270</v>
      </c>
      <c r="E8" s="16" t="s">
        <v>564</v>
      </c>
      <c r="F8" s="16" t="s">
        <v>225</v>
      </c>
      <c r="G8" s="16" t="s">
        <v>1817</v>
      </c>
      <c r="H8" s="17" t="s">
        <v>1843</v>
      </c>
    </row>
    <row r="9" spans="1:8" ht="15" customHeight="1" x14ac:dyDescent="0.45">
      <c r="A9" s="18" t="s">
        <v>1844</v>
      </c>
      <c r="B9" s="18" t="s">
        <v>1815</v>
      </c>
      <c r="C9" s="18" t="s">
        <v>1845</v>
      </c>
      <c r="D9" s="18" t="s">
        <v>1115</v>
      </c>
      <c r="E9" s="18" t="s">
        <v>303</v>
      </c>
      <c r="F9" s="18" t="s">
        <v>225</v>
      </c>
      <c r="G9" s="18" t="s">
        <v>1817</v>
      </c>
      <c r="H9" s="19" t="s">
        <v>1846</v>
      </c>
    </row>
    <row r="10" spans="1:8" ht="25.5" x14ac:dyDescent="0.45">
      <c r="A10" s="20" t="s">
        <v>1847</v>
      </c>
      <c r="B10" s="20" t="s">
        <v>1815</v>
      </c>
      <c r="C10" s="20" t="s">
        <v>1848</v>
      </c>
      <c r="D10" s="20" t="s">
        <v>1825</v>
      </c>
      <c r="E10" s="20" t="s">
        <v>1849</v>
      </c>
      <c r="F10" s="20" t="s">
        <v>225</v>
      </c>
      <c r="G10" s="20" t="s">
        <v>1817</v>
      </c>
      <c r="H10" s="20" t="s">
        <v>1850</v>
      </c>
    </row>
    <row r="11" spans="1:8" ht="25.5" x14ac:dyDescent="0.45">
      <c r="A11" s="3" t="s">
        <v>1851</v>
      </c>
      <c r="B11" s="3" t="s">
        <v>1815</v>
      </c>
      <c r="C11" s="3" t="s">
        <v>1852</v>
      </c>
      <c r="D11" s="3" t="s">
        <v>419</v>
      </c>
      <c r="E11" s="3" t="s">
        <v>1853</v>
      </c>
      <c r="F11" s="3" t="s">
        <v>225</v>
      </c>
      <c r="G11" s="3" t="s">
        <v>1817</v>
      </c>
      <c r="H11" s="3" t="s">
        <v>1854</v>
      </c>
    </row>
    <row r="12" spans="1:8" ht="25.5" x14ac:dyDescent="0.45">
      <c r="A12" s="20" t="s">
        <v>1855</v>
      </c>
      <c r="B12" s="20" t="s">
        <v>1815</v>
      </c>
      <c r="C12" s="20" t="s">
        <v>1856</v>
      </c>
      <c r="D12" s="20" t="s">
        <v>1825</v>
      </c>
      <c r="E12" s="20" t="s">
        <v>1857</v>
      </c>
      <c r="F12" s="20" t="s">
        <v>225</v>
      </c>
      <c r="G12" s="20" t="s">
        <v>1817</v>
      </c>
      <c r="H12" s="20" t="s">
        <v>1858</v>
      </c>
    </row>
  </sheetData>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9"/>
  <sheetViews>
    <sheetView showGridLines="0" zoomScaleNormal="100" workbookViewId="0">
      <pane ySplit="1" topLeftCell="A2" activePane="bottomLeft" state="frozen"/>
      <selection pane="bottomLeft"/>
    </sheetView>
  </sheetViews>
  <sheetFormatPr defaultColWidth="8.59765625" defaultRowHeight="14.25" x14ac:dyDescent="0.45"/>
  <cols>
    <col min="1" max="1" width="12" customWidth="1"/>
    <col min="2" max="2" width="10" customWidth="1"/>
    <col min="3" max="3" width="24" customWidth="1"/>
    <col min="4" max="4" width="13" customWidth="1"/>
    <col min="5" max="5" width="12" customWidth="1"/>
    <col min="6" max="6" width="26" customWidth="1"/>
    <col min="7" max="7" width="24" customWidth="1"/>
    <col min="8" max="8" width="26" customWidth="1"/>
    <col min="9" max="9" width="15" customWidth="1"/>
    <col min="10" max="10" width="44" customWidth="1"/>
  </cols>
  <sheetData>
    <row r="1" spans="1:10" ht="23.25" customHeight="1" x14ac:dyDescent="0.45">
      <c r="A1" s="15" t="s">
        <v>1547</v>
      </c>
      <c r="B1" s="15" t="s">
        <v>131</v>
      </c>
      <c r="C1" s="15" t="s">
        <v>132</v>
      </c>
      <c r="D1" s="15" t="s">
        <v>1859</v>
      </c>
      <c r="E1" s="15" t="s">
        <v>1860</v>
      </c>
      <c r="F1" s="15" t="s">
        <v>1861</v>
      </c>
      <c r="G1" s="15" t="s">
        <v>1862</v>
      </c>
      <c r="H1" s="15" t="s">
        <v>1863</v>
      </c>
      <c r="I1" s="15" t="s">
        <v>1019</v>
      </c>
      <c r="J1" s="15" t="s">
        <v>1864</v>
      </c>
    </row>
    <row r="2" spans="1:10" ht="23.25" customHeight="1" x14ac:dyDescent="0.45">
      <c r="A2" s="16" t="s">
        <v>1552</v>
      </c>
      <c r="B2" s="16" t="s">
        <v>152</v>
      </c>
      <c r="C2" s="16" t="s">
        <v>153</v>
      </c>
      <c r="D2" s="16" t="s">
        <v>394</v>
      </c>
      <c r="E2" s="29">
        <v>6</v>
      </c>
      <c r="F2" s="16" t="s">
        <v>1838</v>
      </c>
      <c r="G2" s="16" t="s">
        <v>1817</v>
      </c>
      <c r="H2" s="16" t="s">
        <v>1865</v>
      </c>
      <c r="I2" s="16" t="s">
        <v>225</v>
      </c>
      <c r="J2" s="17" t="s">
        <v>1866</v>
      </c>
    </row>
    <row r="3" spans="1:10" ht="23.25" customHeight="1" x14ac:dyDescent="0.45">
      <c r="A3" s="18" t="s">
        <v>1553</v>
      </c>
      <c r="B3" s="18" t="s">
        <v>161</v>
      </c>
      <c r="C3" s="18" t="s">
        <v>162</v>
      </c>
      <c r="D3" s="18" t="s">
        <v>394</v>
      </c>
      <c r="E3" s="30">
        <v>6</v>
      </c>
      <c r="F3" s="18" t="s">
        <v>1838</v>
      </c>
      <c r="G3" s="18" t="s">
        <v>1817</v>
      </c>
      <c r="H3" s="18" t="s">
        <v>1867</v>
      </c>
      <c r="I3" s="18" t="s">
        <v>1868</v>
      </c>
      <c r="J3" s="19" t="s">
        <v>1869</v>
      </c>
    </row>
    <row r="4" spans="1:10" ht="23.25" customHeight="1" x14ac:dyDescent="0.45">
      <c r="A4" s="16" t="s">
        <v>1554</v>
      </c>
      <c r="B4" s="16" t="s">
        <v>142</v>
      </c>
      <c r="C4" s="16" t="s">
        <v>143</v>
      </c>
      <c r="D4" s="16" t="s">
        <v>394</v>
      </c>
      <c r="E4" s="29">
        <v>6</v>
      </c>
      <c r="F4" s="16" t="s">
        <v>1838</v>
      </c>
      <c r="G4" s="16" t="s">
        <v>1817</v>
      </c>
      <c r="H4" s="16" t="s">
        <v>1870</v>
      </c>
      <c r="I4" s="16" t="s">
        <v>1871</v>
      </c>
      <c r="J4" s="17" t="s">
        <v>1872</v>
      </c>
    </row>
    <row r="5" spans="1:10" ht="25.5" x14ac:dyDescent="0.45">
      <c r="A5" s="3" t="s">
        <v>1555</v>
      </c>
      <c r="B5" s="3" t="s">
        <v>197</v>
      </c>
      <c r="C5" s="3" t="s">
        <v>198</v>
      </c>
      <c r="D5" s="3" t="s">
        <v>1873</v>
      </c>
      <c r="E5" s="3">
        <v>6</v>
      </c>
      <c r="F5" s="3" t="s">
        <v>1838</v>
      </c>
      <c r="G5" s="3" t="s">
        <v>1817</v>
      </c>
      <c r="H5" s="3" t="s">
        <v>1870</v>
      </c>
      <c r="I5" s="3" t="s">
        <v>1871</v>
      </c>
      <c r="J5" s="3" t="s">
        <v>1874</v>
      </c>
    </row>
    <row r="6" spans="1:10" ht="25.5" x14ac:dyDescent="0.45">
      <c r="A6" s="20" t="s">
        <v>1556</v>
      </c>
      <c r="B6" s="20" t="s">
        <v>204</v>
      </c>
      <c r="C6" s="20" t="s">
        <v>153</v>
      </c>
      <c r="D6" s="20" t="s">
        <v>1873</v>
      </c>
      <c r="E6" s="20">
        <v>6</v>
      </c>
      <c r="F6" s="20" t="s">
        <v>1838</v>
      </c>
      <c r="G6" s="20" t="s">
        <v>1817</v>
      </c>
      <c r="H6" s="20" t="s">
        <v>1867</v>
      </c>
      <c r="I6" s="20" t="s">
        <v>225</v>
      </c>
      <c r="J6" s="20" t="s">
        <v>1875</v>
      </c>
    </row>
    <row r="7" spans="1:10" ht="25.5" x14ac:dyDescent="0.45">
      <c r="A7" s="3" t="s">
        <v>1557</v>
      </c>
      <c r="B7" s="3" t="s">
        <v>205</v>
      </c>
      <c r="C7" s="3" t="s">
        <v>206</v>
      </c>
      <c r="D7" s="3" t="s">
        <v>1873</v>
      </c>
      <c r="E7" s="3">
        <v>6</v>
      </c>
      <c r="F7" s="3" t="s">
        <v>1838</v>
      </c>
      <c r="G7" s="3" t="s">
        <v>1817</v>
      </c>
      <c r="H7" s="3" t="s">
        <v>1870</v>
      </c>
      <c r="I7" s="3" t="s">
        <v>1868</v>
      </c>
      <c r="J7" s="3" t="s">
        <v>1876</v>
      </c>
    </row>
    <row r="8" spans="1:10" ht="25.5" x14ac:dyDescent="0.45">
      <c r="A8" s="20" t="s">
        <v>1558</v>
      </c>
      <c r="B8" s="20" t="s">
        <v>209</v>
      </c>
      <c r="C8" s="20" t="s">
        <v>210</v>
      </c>
      <c r="D8" s="20" t="s">
        <v>1873</v>
      </c>
      <c r="E8" s="20">
        <v>6</v>
      </c>
      <c r="F8" s="20" t="s">
        <v>1838</v>
      </c>
      <c r="G8" s="20" t="s">
        <v>1817</v>
      </c>
      <c r="H8" s="20" t="s">
        <v>1870</v>
      </c>
      <c r="I8" s="20" t="s">
        <v>1871</v>
      </c>
      <c r="J8" s="20" t="s">
        <v>1877</v>
      </c>
    </row>
    <row r="9" spans="1:10" ht="25.5" x14ac:dyDescent="0.45">
      <c r="A9" s="3" t="s">
        <v>1559</v>
      </c>
      <c r="B9" s="3" t="s">
        <v>213</v>
      </c>
      <c r="C9" s="3" t="s">
        <v>214</v>
      </c>
      <c r="D9" s="3" t="s">
        <v>1873</v>
      </c>
      <c r="E9" s="3">
        <v>6</v>
      </c>
      <c r="F9" s="3" t="s">
        <v>1838</v>
      </c>
      <c r="G9" s="3" t="s">
        <v>1817</v>
      </c>
      <c r="H9" s="3" t="s">
        <v>1870</v>
      </c>
      <c r="I9" s="3" t="s">
        <v>1871</v>
      </c>
      <c r="J9" s="3" t="s">
        <v>1878</v>
      </c>
    </row>
  </sheetData>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6"/>
  <sheetViews>
    <sheetView zoomScaleNormal="100" workbookViewId="0">
      <pane ySplit="1" topLeftCell="A2" activePane="bottomLeft" state="frozen"/>
      <selection pane="bottomLeft"/>
    </sheetView>
  </sheetViews>
  <sheetFormatPr defaultColWidth="8.59765625" defaultRowHeight="14.25" x14ac:dyDescent="0.45"/>
  <cols>
    <col min="1" max="1" width="9" customWidth="1"/>
    <col min="2" max="2" width="22" customWidth="1"/>
    <col min="3" max="3" width="18" customWidth="1"/>
    <col min="4" max="4" width="26" customWidth="1"/>
    <col min="5" max="5" width="20" customWidth="1"/>
    <col min="6" max="6" width="12" customWidth="1"/>
    <col min="7" max="7" width="15" customWidth="1"/>
    <col min="8" max="8" width="20" customWidth="1"/>
    <col min="9" max="9" width="10" customWidth="1"/>
    <col min="10" max="10" width="9" customWidth="1"/>
    <col min="11" max="11" width="14" customWidth="1"/>
    <col min="12" max="12" width="55" customWidth="1"/>
  </cols>
  <sheetData>
    <row r="1" spans="1:12" ht="27.75" customHeight="1" x14ac:dyDescent="0.45">
      <c r="A1" s="39" t="s">
        <v>131</v>
      </c>
      <c r="B1" s="39" t="s">
        <v>132</v>
      </c>
      <c r="C1" s="39" t="s">
        <v>133</v>
      </c>
      <c r="D1" s="39" t="s">
        <v>134</v>
      </c>
      <c r="E1" s="39" t="s">
        <v>135</v>
      </c>
      <c r="F1" s="39" t="s">
        <v>136</v>
      </c>
      <c r="G1" s="39" t="s">
        <v>137</v>
      </c>
      <c r="H1" s="39" t="s">
        <v>138</v>
      </c>
      <c r="I1" s="39" t="s">
        <v>139</v>
      </c>
      <c r="J1" s="39" t="s">
        <v>141</v>
      </c>
      <c r="K1" s="39" t="s">
        <v>1879</v>
      </c>
      <c r="L1" s="39" t="s">
        <v>1880</v>
      </c>
    </row>
    <row r="2" spans="1:12" ht="63.75" customHeight="1" x14ac:dyDescent="0.45">
      <c r="A2" s="40" t="s">
        <v>197</v>
      </c>
      <c r="B2" s="40" t="s">
        <v>198</v>
      </c>
      <c r="C2" s="40" t="s">
        <v>198</v>
      </c>
      <c r="D2" s="40" t="s">
        <v>199</v>
      </c>
      <c r="E2" s="40" t="s">
        <v>200</v>
      </c>
      <c r="F2" s="40" t="s">
        <v>201</v>
      </c>
      <c r="G2" s="40" t="s">
        <v>202</v>
      </c>
      <c r="H2" s="40" t="s">
        <v>148</v>
      </c>
      <c r="I2" s="40" t="s">
        <v>149</v>
      </c>
      <c r="J2" s="40" t="s">
        <v>160</v>
      </c>
      <c r="K2" s="40" t="s">
        <v>1881</v>
      </c>
      <c r="L2" s="41" t="s">
        <v>1882</v>
      </c>
    </row>
    <row r="3" spans="1:12" ht="63.75" customHeight="1" x14ac:dyDescent="0.45">
      <c r="A3" s="42" t="s">
        <v>204</v>
      </c>
      <c r="B3" s="42" t="s">
        <v>153</v>
      </c>
      <c r="C3" s="42" t="s">
        <v>153</v>
      </c>
      <c r="D3" s="42" t="s">
        <v>154</v>
      </c>
      <c r="E3" s="42" t="s">
        <v>155</v>
      </c>
      <c r="F3" s="42" t="s">
        <v>156</v>
      </c>
      <c r="G3" s="42" t="s">
        <v>157</v>
      </c>
      <c r="H3" s="42" t="s">
        <v>158</v>
      </c>
      <c r="I3" s="42" t="s">
        <v>149</v>
      </c>
      <c r="J3" s="42" t="s">
        <v>160</v>
      </c>
      <c r="K3" s="42" t="s">
        <v>152</v>
      </c>
      <c r="L3" s="43" t="s">
        <v>1883</v>
      </c>
    </row>
    <row r="4" spans="1:12" ht="63.75" customHeight="1" x14ac:dyDescent="0.45">
      <c r="A4" s="40" t="s">
        <v>205</v>
      </c>
      <c r="B4" s="40" t="s">
        <v>206</v>
      </c>
      <c r="C4" s="40" t="s">
        <v>206</v>
      </c>
      <c r="D4" s="40" t="s">
        <v>206</v>
      </c>
      <c r="E4" s="40" t="s">
        <v>207</v>
      </c>
      <c r="F4" s="40" t="s">
        <v>169</v>
      </c>
      <c r="G4" s="40" t="s">
        <v>169</v>
      </c>
      <c r="H4" s="40" t="s">
        <v>158</v>
      </c>
      <c r="I4" s="40" t="s">
        <v>149</v>
      </c>
      <c r="J4" s="40" t="s">
        <v>160</v>
      </c>
      <c r="K4" s="40" t="s">
        <v>1881</v>
      </c>
      <c r="L4" s="41" t="s">
        <v>1884</v>
      </c>
    </row>
    <row r="5" spans="1:12" ht="63.75" customHeight="1" x14ac:dyDescent="0.45">
      <c r="A5" s="42" t="s">
        <v>209</v>
      </c>
      <c r="B5" s="42" t="s">
        <v>210</v>
      </c>
      <c r="C5" s="42" t="s">
        <v>210</v>
      </c>
      <c r="D5" s="42" t="s">
        <v>210</v>
      </c>
      <c r="E5" s="42" t="s">
        <v>211</v>
      </c>
      <c r="F5" s="42" t="s">
        <v>169</v>
      </c>
      <c r="G5" s="42" t="s">
        <v>169</v>
      </c>
      <c r="H5" s="42" t="s">
        <v>158</v>
      </c>
      <c r="I5" s="42" t="s">
        <v>176</v>
      </c>
      <c r="J5" s="42" t="s">
        <v>160</v>
      </c>
      <c r="K5" s="42" t="s">
        <v>1881</v>
      </c>
      <c r="L5" s="43" t="s">
        <v>1885</v>
      </c>
    </row>
    <row r="6" spans="1:12" ht="63.75" customHeight="1" x14ac:dyDescent="0.45">
      <c r="A6" s="40" t="s">
        <v>213</v>
      </c>
      <c r="B6" s="40" t="s">
        <v>214</v>
      </c>
      <c r="C6" s="40" t="s">
        <v>214</v>
      </c>
      <c r="D6" s="40" t="s">
        <v>214</v>
      </c>
      <c r="E6" s="40" t="s">
        <v>215</v>
      </c>
      <c r="F6" s="40" t="s">
        <v>169</v>
      </c>
      <c r="G6" s="40" t="s">
        <v>169</v>
      </c>
      <c r="H6" s="40" t="s">
        <v>158</v>
      </c>
      <c r="I6" s="40" t="s">
        <v>149</v>
      </c>
      <c r="J6" s="40" t="s">
        <v>160</v>
      </c>
      <c r="K6" s="40" t="s">
        <v>1881</v>
      </c>
      <c r="L6" s="41" t="s">
        <v>1886</v>
      </c>
    </row>
  </sheetData>
  <autoFilter ref="A1:L1" xr:uid="{00000000-0009-0000-0000-000024000000}"/>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11"/>
  <sheetViews>
    <sheetView zoomScaleNormal="100" workbookViewId="0">
      <pane ySplit="1" topLeftCell="A2" activePane="bottomLeft" state="frozen"/>
      <selection pane="bottomLeft"/>
    </sheetView>
  </sheetViews>
  <sheetFormatPr defaultColWidth="8.59765625" defaultRowHeight="14.25" x14ac:dyDescent="0.45"/>
  <cols>
    <col min="1" max="1" width="9" customWidth="1"/>
    <col min="2" max="2" width="22" customWidth="1"/>
    <col min="3" max="3" width="18" customWidth="1"/>
    <col min="4" max="4" width="14" customWidth="1"/>
    <col min="5" max="5" width="13" customWidth="1"/>
    <col min="6" max="6" width="42" customWidth="1"/>
    <col min="7" max="7" width="9" customWidth="1"/>
    <col min="8" max="8" width="26" customWidth="1"/>
    <col min="9" max="9" width="10" customWidth="1"/>
    <col min="10" max="10" width="20" customWidth="1"/>
    <col min="11" max="11" width="13" customWidth="1"/>
  </cols>
  <sheetData>
    <row r="1" spans="1:11" ht="27.75" customHeight="1" x14ac:dyDescent="0.45">
      <c r="A1" s="39" t="s">
        <v>131</v>
      </c>
      <c r="B1" s="39" t="s">
        <v>132</v>
      </c>
      <c r="C1" s="39" t="s">
        <v>1887</v>
      </c>
      <c r="D1" s="39" t="s">
        <v>1888</v>
      </c>
      <c r="E1" s="39" t="s">
        <v>1889</v>
      </c>
      <c r="F1" s="39" t="s">
        <v>1890</v>
      </c>
      <c r="G1" s="39" t="s">
        <v>1891</v>
      </c>
      <c r="H1" s="39" t="s">
        <v>1892</v>
      </c>
      <c r="I1" s="39" t="s">
        <v>1893</v>
      </c>
      <c r="J1" s="39" t="s">
        <v>1894</v>
      </c>
      <c r="K1" s="39" t="s">
        <v>1895</v>
      </c>
    </row>
    <row r="2" spans="1:11" ht="30" customHeight="1" x14ac:dyDescent="0.45">
      <c r="A2" s="40" t="s">
        <v>197</v>
      </c>
      <c r="B2" s="40" t="s">
        <v>198</v>
      </c>
      <c r="C2" s="40" t="s">
        <v>433</v>
      </c>
      <c r="D2" s="40">
        <v>70</v>
      </c>
      <c r="E2" s="40">
        <v>10</v>
      </c>
      <c r="F2" s="41" t="s">
        <v>1896</v>
      </c>
      <c r="G2" s="40">
        <v>10</v>
      </c>
      <c r="H2" s="41" t="s">
        <v>1897</v>
      </c>
      <c r="I2" s="40" t="s">
        <v>1898</v>
      </c>
      <c r="J2" s="40" t="s">
        <v>326</v>
      </c>
      <c r="K2" s="40" t="s">
        <v>1899</v>
      </c>
    </row>
    <row r="3" spans="1:11" ht="30" customHeight="1" x14ac:dyDescent="0.45">
      <c r="A3" s="42" t="s">
        <v>197</v>
      </c>
      <c r="B3" s="42" t="s">
        <v>198</v>
      </c>
      <c r="C3" s="42" t="s">
        <v>1900</v>
      </c>
      <c r="D3" s="42">
        <v>60</v>
      </c>
      <c r="E3" s="42">
        <v>10</v>
      </c>
      <c r="F3" s="43" t="s">
        <v>1901</v>
      </c>
      <c r="G3" s="42">
        <v>5</v>
      </c>
      <c r="H3" s="43" t="s">
        <v>326</v>
      </c>
      <c r="I3" s="42" t="s">
        <v>1898</v>
      </c>
      <c r="J3" s="42" t="s">
        <v>326</v>
      </c>
      <c r="K3" s="42" t="s">
        <v>1899</v>
      </c>
    </row>
    <row r="4" spans="1:11" ht="30" customHeight="1" x14ac:dyDescent="0.45">
      <c r="A4" s="40" t="s">
        <v>204</v>
      </c>
      <c r="B4" s="40" t="s">
        <v>153</v>
      </c>
      <c r="C4" s="40" t="s">
        <v>439</v>
      </c>
      <c r="D4" s="40">
        <v>70</v>
      </c>
      <c r="E4" s="40">
        <v>10</v>
      </c>
      <c r="F4" s="41" t="s">
        <v>1902</v>
      </c>
      <c r="G4" s="40">
        <v>3</v>
      </c>
      <c r="H4" s="41" t="s">
        <v>1903</v>
      </c>
      <c r="I4" s="40" t="s">
        <v>1904</v>
      </c>
      <c r="J4" s="40" t="s">
        <v>1905</v>
      </c>
      <c r="K4" s="40" t="s">
        <v>1906</v>
      </c>
    </row>
    <row r="5" spans="1:11" ht="30" customHeight="1" x14ac:dyDescent="0.45">
      <c r="A5" s="42" t="s">
        <v>205</v>
      </c>
      <c r="B5" s="42" t="s">
        <v>206</v>
      </c>
      <c r="C5" s="42" t="s">
        <v>433</v>
      </c>
      <c r="D5" s="42">
        <v>60</v>
      </c>
      <c r="E5" s="42">
        <v>15</v>
      </c>
      <c r="F5" s="43" t="s">
        <v>1907</v>
      </c>
      <c r="G5" s="42">
        <v>7</v>
      </c>
      <c r="H5" s="43" t="s">
        <v>1908</v>
      </c>
      <c r="I5" s="42" t="s">
        <v>1909</v>
      </c>
      <c r="J5" s="42" t="s">
        <v>1910</v>
      </c>
      <c r="K5" s="42" t="s">
        <v>1911</v>
      </c>
    </row>
    <row r="6" spans="1:11" ht="30" customHeight="1" x14ac:dyDescent="0.45">
      <c r="A6" s="40" t="s">
        <v>205</v>
      </c>
      <c r="B6" s="40" t="s">
        <v>206</v>
      </c>
      <c r="C6" s="40" t="s">
        <v>1912</v>
      </c>
      <c r="D6" s="40">
        <v>50</v>
      </c>
      <c r="E6" s="40">
        <v>15</v>
      </c>
      <c r="F6" s="41" t="s">
        <v>1913</v>
      </c>
      <c r="G6" s="40">
        <v>3</v>
      </c>
      <c r="H6" s="41" t="s">
        <v>1914</v>
      </c>
      <c r="I6" s="40" t="s">
        <v>1909</v>
      </c>
      <c r="J6" s="40" t="s">
        <v>1915</v>
      </c>
      <c r="K6" s="40" t="s">
        <v>1911</v>
      </c>
    </row>
    <row r="7" spans="1:11" ht="30" customHeight="1" x14ac:dyDescent="0.45">
      <c r="A7" s="42" t="s">
        <v>209</v>
      </c>
      <c r="B7" s="42" t="s">
        <v>210</v>
      </c>
      <c r="C7" s="42" t="s">
        <v>1916</v>
      </c>
      <c r="D7" s="42">
        <v>80</v>
      </c>
      <c r="E7" s="42">
        <v>15</v>
      </c>
      <c r="F7" s="43" t="s">
        <v>1917</v>
      </c>
      <c r="G7" s="42">
        <v>2</v>
      </c>
      <c r="H7" s="43" t="s">
        <v>1918</v>
      </c>
      <c r="I7" s="42" t="s">
        <v>1919</v>
      </c>
      <c r="J7" s="42" t="s">
        <v>1920</v>
      </c>
      <c r="K7" s="42" t="s">
        <v>1921</v>
      </c>
    </row>
    <row r="8" spans="1:11" ht="30" customHeight="1" x14ac:dyDescent="0.45">
      <c r="A8" s="40" t="s">
        <v>209</v>
      </c>
      <c r="B8" s="40" t="s">
        <v>210</v>
      </c>
      <c r="C8" s="40" t="s">
        <v>1922</v>
      </c>
      <c r="D8" s="40">
        <v>65</v>
      </c>
      <c r="E8" s="40">
        <v>15</v>
      </c>
      <c r="F8" s="41" t="s">
        <v>1923</v>
      </c>
      <c r="G8" s="40">
        <v>2</v>
      </c>
      <c r="H8" s="41" t="s">
        <v>1918</v>
      </c>
      <c r="I8" s="40" t="s">
        <v>1919</v>
      </c>
      <c r="J8" s="40" t="s">
        <v>1920</v>
      </c>
      <c r="K8" s="40" t="s">
        <v>1921</v>
      </c>
    </row>
    <row r="9" spans="1:11" ht="30" customHeight="1" x14ac:dyDescent="0.45">
      <c r="A9" s="42" t="s">
        <v>209</v>
      </c>
      <c r="B9" s="42" t="s">
        <v>210</v>
      </c>
      <c r="C9" s="42" t="s">
        <v>1924</v>
      </c>
      <c r="D9" s="42">
        <v>70</v>
      </c>
      <c r="E9" s="42">
        <v>10</v>
      </c>
      <c r="F9" s="43" t="s">
        <v>1925</v>
      </c>
      <c r="G9" s="42">
        <v>2</v>
      </c>
      <c r="H9" s="43" t="s">
        <v>326</v>
      </c>
      <c r="I9" s="42" t="s">
        <v>1919</v>
      </c>
      <c r="J9" s="42" t="s">
        <v>326</v>
      </c>
      <c r="K9" s="42" t="s">
        <v>1921</v>
      </c>
    </row>
    <row r="10" spans="1:11" ht="30" customHeight="1" x14ac:dyDescent="0.45">
      <c r="A10" s="40" t="s">
        <v>213</v>
      </c>
      <c r="B10" s="40" t="s">
        <v>214</v>
      </c>
      <c r="C10" s="40" t="s">
        <v>433</v>
      </c>
      <c r="D10" s="40">
        <v>65</v>
      </c>
      <c r="E10" s="40">
        <v>10</v>
      </c>
      <c r="F10" s="41" t="s">
        <v>1926</v>
      </c>
      <c r="G10" s="40">
        <v>7</v>
      </c>
      <c r="H10" s="41" t="s">
        <v>1908</v>
      </c>
      <c r="I10" s="40" t="s">
        <v>1927</v>
      </c>
      <c r="J10" s="40" t="s">
        <v>326</v>
      </c>
      <c r="K10" s="40" t="s">
        <v>469</v>
      </c>
    </row>
    <row r="11" spans="1:11" ht="30" customHeight="1" x14ac:dyDescent="0.45">
      <c r="A11" s="42" t="s">
        <v>213</v>
      </c>
      <c r="B11" s="42" t="s">
        <v>214</v>
      </c>
      <c r="C11" s="42" t="s">
        <v>439</v>
      </c>
      <c r="D11" s="42">
        <v>65</v>
      </c>
      <c r="E11" s="42">
        <v>10</v>
      </c>
      <c r="F11" s="43" t="s">
        <v>1901</v>
      </c>
      <c r="G11" s="42">
        <v>7</v>
      </c>
      <c r="H11" s="43" t="s">
        <v>1908</v>
      </c>
      <c r="I11" s="42" t="s">
        <v>1927</v>
      </c>
      <c r="J11" s="42" t="s">
        <v>326</v>
      </c>
      <c r="K11" s="42" t="s">
        <v>469</v>
      </c>
    </row>
  </sheetData>
  <autoFilter ref="A1:K1" xr:uid="{00000000-0009-0000-0000-000025000000}"/>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12"/>
  <sheetViews>
    <sheetView zoomScaleNormal="100" workbookViewId="0">
      <pane ySplit="1" topLeftCell="A2" activePane="bottomLeft" state="frozen"/>
      <selection pane="bottomLeft"/>
    </sheetView>
  </sheetViews>
  <sheetFormatPr defaultColWidth="8.59765625" defaultRowHeight="14.25" x14ac:dyDescent="0.45"/>
  <cols>
    <col min="1" max="1" width="9" customWidth="1"/>
    <col min="2" max="2" width="22" customWidth="1"/>
    <col min="3" max="4" width="9" customWidth="1"/>
    <col min="5" max="8" width="15" customWidth="1"/>
    <col min="9" max="9" width="12" customWidth="1"/>
    <col min="10" max="10" width="46" customWidth="1"/>
  </cols>
  <sheetData>
    <row r="1" spans="1:10" ht="27.75" customHeight="1" x14ac:dyDescent="0.45">
      <c r="A1" s="39" t="s">
        <v>131</v>
      </c>
      <c r="B1" s="39" t="s">
        <v>132</v>
      </c>
      <c r="C1" s="39" t="s">
        <v>836</v>
      </c>
      <c r="D1" s="39" t="s">
        <v>1928</v>
      </c>
      <c r="E1" s="39" t="s">
        <v>1929</v>
      </c>
      <c r="F1" s="39" t="s">
        <v>1930</v>
      </c>
      <c r="G1" s="39" t="s">
        <v>1931</v>
      </c>
      <c r="H1" s="39" t="s">
        <v>1932</v>
      </c>
      <c r="I1" s="39" t="s">
        <v>1933</v>
      </c>
      <c r="J1" s="39" t="s">
        <v>291</v>
      </c>
    </row>
    <row r="2" spans="1:10" ht="30" customHeight="1" x14ac:dyDescent="0.45">
      <c r="A2" s="40" t="s">
        <v>204</v>
      </c>
      <c r="B2" s="40" t="s">
        <v>153</v>
      </c>
      <c r="C2" s="40" t="s">
        <v>490</v>
      </c>
      <c r="D2" s="40" t="s">
        <v>1934</v>
      </c>
      <c r="E2" s="40">
        <v>12000</v>
      </c>
      <c r="F2" s="40">
        <v>4000</v>
      </c>
      <c r="G2" s="40">
        <v>4000</v>
      </c>
      <c r="H2" s="40">
        <v>8000</v>
      </c>
      <c r="I2" s="40">
        <v>55</v>
      </c>
      <c r="J2" s="41" t="s">
        <v>1935</v>
      </c>
    </row>
    <row r="3" spans="1:10" ht="30" customHeight="1" x14ac:dyDescent="0.45">
      <c r="A3" s="42" t="s">
        <v>204</v>
      </c>
      <c r="B3" s="42" t="s">
        <v>153</v>
      </c>
      <c r="C3" s="42" t="s">
        <v>1936</v>
      </c>
      <c r="D3" s="42" t="s">
        <v>1934</v>
      </c>
      <c r="E3" s="42">
        <v>7100</v>
      </c>
      <c r="F3" s="42">
        <v>600</v>
      </c>
      <c r="G3" s="42">
        <v>300</v>
      </c>
      <c r="H3" s="42">
        <v>6800</v>
      </c>
      <c r="I3" s="42">
        <v>20</v>
      </c>
      <c r="J3" s="43" t="s">
        <v>1937</v>
      </c>
    </row>
    <row r="4" spans="1:10" ht="30" customHeight="1" x14ac:dyDescent="0.45">
      <c r="A4" s="40" t="s">
        <v>204</v>
      </c>
      <c r="B4" s="40" t="s">
        <v>153</v>
      </c>
      <c r="C4" s="40" t="s">
        <v>1938</v>
      </c>
      <c r="D4" s="40" t="s">
        <v>1934</v>
      </c>
      <c r="E4" s="40">
        <v>5100</v>
      </c>
      <c r="F4" s="40">
        <v>400</v>
      </c>
      <c r="G4" s="40">
        <v>200</v>
      </c>
      <c r="H4" s="40">
        <v>4900</v>
      </c>
      <c r="I4" s="40">
        <v>25</v>
      </c>
      <c r="J4" s="41" t="s">
        <v>1939</v>
      </c>
    </row>
    <row r="5" spans="1:10" ht="30" customHeight="1" x14ac:dyDescent="0.45">
      <c r="A5" s="42" t="s">
        <v>204</v>
      </c>
      <c r="B5" s="42" t="s">
        <v>153</v>
      </c>
      <c r="C5" s="42" t="s">
        <v>1940</v>
      </c>
      <c r="D5" s="42" t="s">
        <v>1934</v>
      </c>
      <c r="E5" s="42">
        <v>3000</v>
      </c>
      <c r="F5" s="42">
        <v>500</v>
      </c>
      <c r="G5" s="42">
        <v>200</v>
      </c>
      <c r="H5" s="42">
        <v>2800</v>
      </c>
      <c r="I5" s="42">
        <v>15</v>
      </c>
      <c r="J5" s="43" t="s">
        <v>1941</v>
      </c>
    </row>
    <row r="6" spans="1:10" ht="30" customHeight="1" x14ac:dyDescent="0.45">
      <c r="A6" s="40" t="s">
        <v>204</v>
      </c>
      <c r="B6" s="40" t="s">
        <v>153</v>
      </c>
      <c r="C6" s="40" t="s">
        <v>160</v>
      </c>
      <c r="D6" s="40" t="s">
        <v>1934</v>
      </c>
      <c r="E6" s="40">
        <v>18000</v>
      </c>
      <c r="F6" s="40">
        <v>15000</v>
      </c>
      <c r="G6" s="40">
        <v>15000</v>
      </c>
      <c r="H6" s="40">
        <v>3000</v>
      </c>
      <c r="I6" s="40">
        <v>90</v>
      </c>
      <c r="J6" s="41" t="s">
        <v>1942</v>
      </c>
    </row>
    <row r="7" spans="1:10" ht="30" customHeight="1" x14ac:dyDescent="0.45">
      <c r="A7" s="42" t="s">
        <v>197</v>
      </c>
      <c r="B7" s="42" t="s">
        <v>198</v>
      </c>
      <c r="C7" s="42" t="s">
        <v>160</v>
      </c>
      <c r="D7" s="42" t="s">
        <v>1943</v>
      </c>
      <c r="E7" s="42">
        <v>30000</v>
      </c>
      <c r="F7" s="42">
        <v>26000</v>
      </c>
      <c r="G7" s="42">
        <v>26000</v>
      </c>
      <c r="H7" s="42">
        <v>4000</v>
      </c>
      <c r="I7" s="42">
        <v>80</v>
      </c>
      <c r="J7" s="43" t="s">
        <v>1944</v>
      </c>
    </row>
    <row r="8" spans="1:10" ht="30" customHeight="1" x14ac:dyDescent="0.45">
      <c r="A8" s="40" t="s">
        <v>197</v>
      </c>
      <c r="B8" s="40" t="s">
        <v>198</v>
      </c>
      <c r="C8" s="40" t="s">
        <v>490</v>
      </c>
      <c r="D8" s="40" t="s">
        <v>1943</v>
      </c>
      <c r="E8" s="40">
        <v>4000</v>
      </c>
      <c r="F8" s="40">
        <v>1200</v>
      </c>
      <c r="G8" s="40">
        <v>900</v>
      </c>
      <c r="H8" s="40">
        <v>3100</v>
      </c>
      <c r="I8" s="40">
        <v>40</v>
      </c>
      <c r="J8" s="41" t="s">
        <v>1945</v>
      </c>
    </row>
    <row r="9" spans="1:10" ht="30" customHeight="1" x14ac:dyDescent="0.45">
      <c r="A9" s="42" t="s">
        <v>197</v>
      </c>
      <c r="B9" s="42" t="s">
        <v>198</v>
      </c>
      <c r="C9" s="42" t="s">
        <v>1946</v>
      </c>
      <c r="D9" s="42" t="s">
        <v>1943</v>
      </c>
      <c r="E9" s="42">
        <v>5200</v>
      </c>
      <c r="F9" s="42">
        <v>4600</v>
      </c>
      <c r="G9" s="42">
        <v>3800</v>
      </c>
      <c r="H9" s="42">
        <v>1400</v>
      </c>
      <c r="I9" s="42">
        <v>20</v>
      </c>
      <c r="J9" s="43" t="s">
        <v>1947</v>
      </c>
    </row>
    <row r="10" spans="1:10" ht="30" customHeight="1" x14ac:dyDescent="0.45">
      <c r="A10" s="40" t="s">
        <v>205</v>
      </c>
      <c r="B10" s="40" t="s">
        <v>206</v>
      </c>
      <c r="C10" s="40" t="s">
        <v>490</v>
      </c>
      <c r="D10" s="40" t="s">
        <v>1934</v>
      </c>
      <c r="E10" s="40">
        <v>9000</v>
      </c>
      <c r="F10" s="40">
        <v>7800</v>
      </c>
      <c r="G10" s="40">
        <v>7000</v>
      </c>
      <c r="H10" s="40">
        <v>2000</v>
      </c>
      <c r="I10" s="40">
        <v>60</v>
      </c>
      <c r="J10" s="41" t="s">
        <v>1948</v>
      </c>
    </row>
    <row r="11" spans="1:10" ht="30" customHeight="1" x14ac:dyDescent="0.45">
      <c r="A11" s="42" t="s">
        <v>209</v>
      </c>
      <c r="B11" s="42" t="s">
        <v>210</v>
      </c>
      <c r="C11" s="42" t="s">
        <v>490</v>
      </c>
      <c r="D11" s="42" t="s">
        <v>1934</v>
      </c>
      <c r="E11" s="42">
        <v>1500</v>
      </c>
      <c r="F11" s="42">
        <v>6800</v>
      </c>
      <c r="G11" s="42">
        <v>1200</v>
      </c>
      <c r="H11" s="42">
        <v>-5300</v>
      </c>
      <c r="I11" s="42">
        <v>70</v>
      </c>
      <c r="J11" s="43" t="s">
        <v>1949</v>
      </c>
    </row>
    <row r="12" spans="1:10" ht="30" customHeight="1" x14ac:dyDescent="0.45">
      <c r="A12" s="40" t="s">
        <v>213</v>
      </c>
      <c r="B12" s="40" t="s">
        <v>214</v>
      </c>
      <c r="C12" s="40" t="s">
        <v>490</v>
      </c>
      <c r="D12" s="40" t="s">
        <v>1934</v>
      </c>
      <c r="E12" s="40">
        <v>11000</v>
      </c>
      <c r="F12" s="40">
        <v>9500</v>
      </c>
      <c r="G12" s="40">
        <v>9000</v>
      </c>
      <c r="H12" s="40">
        <v>2000</v>
      </c>
      <c r="I12" s="40">
        <v>65</v>
      </c>
      <c r="J12" s="41" t="s">
        <v>1950</v>
      </c>
    </row>
  </sheetData>
  <autoFilter ref="A1:J1" xr:uid="{00000000-0009-0000-0000-000026000000}"/>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M16"/>
  <sheetViews>
    <sheetView zoomScaleNormal="100" workbookViewId="0">
      <pane ySplit="1" topLeftCell="A2" activePane="bottomLeft" state="frozen"/>
      <selection pane="bottomLeft"/>
    </sheetView>
  </sheetViews>
  <sheetFormatPr defaultColWidth="8.59765625" defaultRowHeight="14.25" x14ac:dyDescent="0.45"/>
  <cols>
    <col min="1" max="1" width="9" customWidth="1"/>
    <col min="2" max="2" width="22" customWidth="1"/>
    <col min="3" max="3" width="15" customWidth="1"/>
    <col min="4" max="4" width="30" customWidth="1"/>
    <col min="5" max="5" width="12" customWidth="1"/>
    <col min="6" max="6" width="9" customWidth="1"/>
    <col min="7" max="8" width="13" customWidth="1"/>
    <col min="9" max="9" width="12" customWidth="1"/>
    <col min="10" max="10" width="14" customWidth="1"/>
    <col min="11" max="11" width="26" customWidth="1"/>
    <col min="12" max="12" width="16" customWidth="1"/>
    <col min="13" max="13" width="12" customWidth="1"/>
  </cols>
  <sheetData>
    <row r="1" spans="1:13" ht="27.75" customHeight="1" x14ac:dyDescent="0.45">
      <c r="A1" s="39" t="s">
        <v>131</v>
      </c>
      <c r="B1" s="39" t="s">
        <v>132</v>
      </c>
      <c r="C1" s="39" t="s">
        <v>1951</v>
      </c>
      <c r="D1" s="39" t="s">
        <v>1361</v>
      </c>
      <c r="E1" s="39" t="s">
        <v>408</v>
      </c>
      <c r="F1" s="39" t="s">
        <v>836</v>
      </c>
      <c r="G1" s="39" t="s">
        <v>1952</v>
      </c>
      <c r="H1" s="39" t="s">
        <v>1953</v>
      </c>
      <c r="I1" s="39" t="s">
        <v>837</v>
      </c>
      <c r="J1" s="39" t="s">
        <v>411</v>
      </c>
      <c r="K1" s="39" t="s">
        <v>1954</v>
      </c>
      <c r="L1" s="39" t="s">
        <v>1955</v>
      </c>
      <c r="M1" s="39" t="s">
        <v>416</v>
      </c>
    </row>
    <row r="2" spans="1:13" ht="30" customHeight="1" x14ac:dyDescent="0.45">
      <c r="A2" s="40" t="s">
        <v>197</v>
      </c>
      <c r="B2" s="40" t="s">
        <v>198</v>
      </c>
      <c r="C2" s="40" t="s">
        <v>1314</v>
      </c>
      <c r="D2" s="41" t="s">
        <v>1956</v>
      </c>
      <c r="E2" s="40">
        <v>3000</v>
      </c>
      <c r="F2" s="40" t="s">
        <v>160</v>
      </c>
      <c r="G2" s="40" t="s">
        <v>1957</v>
      </c>
      <c r="H2" s="40" t="s">
        <v>1958</v>
      </c>
      <c r="I2" s="40" t="s">
        <v>896</v>
      </c>
      <c r="J2" s="40" t="s">
        <v>897</v>
      </c>
      <c r="K2" s="41" t="s">
        <v>1324</v>
      </c>
      <c r="L2" s="40" t="s">
        <v>1959</v>
      </c>
      <c r="M2" s="40" t="s">
        <v>436</v>
      </c>
    </row>
    <row r="3" spans="1:13" ht="30" customHeight="1" x14ac:dyDescent="0.45">
      <c r="A3" s="42" t="s">
        <v>197</v>
      </c>
      <c r="B3" s="42" t="s">
        <v>198</v>
      </c>
      <c r="C3" s="42" t="s">
        <v>1314</v>
      </c>
      <c r="D3" s="43" t="s">
        <v>1960</v>
      </c>
      <c r="E3" s="42">
        <v>2500</v>
      </c>
      <c r="F3" s="42" t="s">
        <v>490</v>
      </c>
      <c r="G3" s="42" t="s">
        <v>1961</v>
      </c>
      <c r="H3" s="42" t="s">
        <v>1958</v>
      </c>
      <c r="I3" s="42" t="s">
        <v>899</v>
      </c>
      <c r="J3" s="42" t="s">
        <v>900</v>
      </c>
      <c r="K3" s="43" t="s">
        <v>1324</v>
      </c>
      <c r="L3" s="42" t="s">
        <v>1959</v>
      </c>
      <c r="M3" s="42" t="s">
        <v>424</v>
      </c>
    </row>
    <row r="4" spans="1:13" ht="30" customHeight="1" x14ac:dyDescent="0.45">
      <c r="A4" s="40" t="s">
        <v>197</v>
      </c>
      <c r="B4" s="40" t="s">
        <v>198</v>
      </c>
      <c r="C4" s="40" t="s">
        <v>1314</v>
      </c>
      <c r="D4" s="41" t="s">
        <v>1962</v>
      </c>
      <c r="E4" s="40">
        <v>1600</v>
      </c>
      <c r="F4" s="40" t="s">
        <v>160</v>
      </c>
      <c r="G4" s="40" t="s">
        <v>1963</v>
      </c>
      <c r="H4" s="40" t="s">
        <v>1958</v>
      </c>
      <c r="I4" s="40" t="s">
        <v>1964</v>
      </c>
      <c r="J4" s="40" t="s">
        <v>1965</v>
      </c>
      <c r="K4" s="41" t="s">
        <v>1324</v>
      </c>
      <c r="L4" s="40" t="s">
        <v>1959</v>
      </c>
      <c r="M4" s="40" t="s">
        <v>436</v>
      </c>
    </row>
    <row r="5" spans="1:13" ht="30" customHeight="1" x14ac:dyDescent="0.45">
      <c r="A5" s="42" t="s">
        <v>197</v>
      </c>
      <c r="B5" s="42" t="s">
        <v>198</v>
      </c>
      <c r="C5" s="42" t="s">
        <v>1966</v>
      </c>
      <c r="D5" s="43" t="s">
        <v>903</v>
      </c>
      <c r="E5" s="42">
        <v>4000</v>
      </c>
      <c r="F5" s="42" t="s">
        <v>160</v>
      </c>
      <c r="G5" s="42" t="s">
        <v>1967</v>
      </c>
      <c r="H5" s="42" t="s">
        <v>1968</v>
      </c>
      <c r="I5" s="42" t="s">
        <v>904</v>
      </c>
      <c r="J5" s="42" t="s">
        <v>905</v>
      </c>
      <c r="K5" s="43" t="s">
        <v>1969</v>
      </c>
      <c r="L5" s="42" t="s">
        <v>1970</v>
      </c>
      <c r="M5" s="42" t="s">
        <v>424</v>
      </c>
    </row>
    <row r="6" spans="1:13" ht="30" customHeight="1" x14ac:dyDescent="0.45">
      <c r="A6" s="40" t="s">
        <v>204</v>
      </c>
      <c r="B6" s="40" t="s">
        <v>153</v>
      </c>
      <c r="C6" s="40" t="s">
        <v>1971</v>
      </c>
      <c r="D6" s="41" t="s">
        <v>906</v>
      </c>
      <c r="E6" s="40">
        <v>6000</v>
      </c>
      <c r="F6" s="40" t="s">
        <v>490</v>
      </c>
      <c r="G6" s="40" t="s">
        <v>1369</v>
      </c>
      <c r="H6" s="40" t="s">
        <v>1324</v>
      </c>
      <c r="I6" s="40" t="s">
        <v>907</v>
      </c>
      <c r="J6" s="40" t="s">
        <v>841</v>
      </c>
      <c r="K6" s="41" t="s">
        <v>1969</v>
      </c>
      <c r="L6" s="40" t="s">
        <v>1972</v>
      </c>
      <c r="M6" s="40" t="s">
        <v>424</v>
      </c>
    </row>
    <row r="7" spans="1:13" ht="30" customHeight="1" x14ac:dyDescent="0.45">
      <c r="A7" s="42" t="s">
        <v>204</v>
      </c>
      <c r="B7" s="42" t="s">
        <v>153</v>
      </c>
      <c r="C7" s="42" t="s">
        <v>1971</v>
      </c>
      <c r="D7" s="43" t="s">
        <v>908</v>
      </c>
      <c r="E7" s="42">
        <v>1000</v>
      </c>
      <c r="F7" s="42" t="s">
        <v>490</v>
      </c>
      <c r="G7" s="42" t="s">
        <v>1973</v>
      </c>
      <c r="H7" s="42" t="s">
        <v>1324</v>
      </c>
      <c r="I7" s="42" t="s">
        <v>453</v>
      </c>
      <c r="J7" s="42" t="s">
        <v>909</v>
      </c>
      <c r="K7" s="43" t="s">
        <v>1974</v>
      </c>
      <c r="L7" s="42" t="s">
        <v>1975</v>
      </c>
      <c r="M7" s="42" t="s">
        <v>424</v>
      </c>
    </row>
    <row r="8" spans="1:13" ht="30" customHeight="1" x14ac:dyDescent="0.45">
      <c r="A8" s="40" t="s">
        <v>205</v>
      </c>
      <c r="B8" s="40" t="s">
        <v>206</v>
      </c>
      <c r="C8" s="40" t="s">
        <v>1322</v>
      </c>
      <c r="D8" s="41" t="s">
        <v>913</v>
      </c>
      <c r="E8" s="40">
        <v>5497</v>
      </c>
      <c r="F8" s="40" t="s">
        <v>160</v>
      </c>
      <c r="G8" s="40" t="s">
        <v>1976</v>
      </c>
      <c r="H8" s="40" t="s">
        <v>1977</v>
      </c>
      <c r="I8" s="40" t="s">
        <v>914</v>
      </c>
      <c r="J8" s="40" t="s">
        <v>915</v>
      </c>
      <c r="K8" s="41" t="s">
        <v>1324</v>
      </c>
      <c r="L8" s="40" t="s">
        <v>1970</v>
      </c>
      <c r="M8" s="40" t="s">
        <v>424</v>
      </c>
    </row>
    <row r="9" spans="1:13" ht="30" customHeight="1" x14ac:dyDescent="0.45">
      <c r="A9" s="42" t="s">
        <v>205</v>
      </c>
      <c r="B9" s="42" t="s">
        <v>206</v>
      </c>
      <c r="C9" s="42" t="s">
        <v>1966</v>
      </c>
      <c r="D9" s="43" t="s">
        <v>916</v>
      </c>
      <c r="E9" s="42">
        <v>3000</v>
      </c>
      <c r="F9" s="42" t="s">
        <v>160</v>
      </c>
      <c r="G9" s="42" t="s">
        <v>1978</v>
      </c>
      <c r="H9" s="42" t="s">
        <v>1979</v>
      </c>
      <c r="I9" s="42" t="s">
        <v>917</v>
      </c>
      <c r="J9" s="42" t="s">
        <v>918</v>
      </c>
      <c r="K9" s="43" t="s">
        <v>1980</v>
      </c>
      <c r="L9" s="42" t="s">
        <v>1981</v>
      </c>
      <c r="M9" s="42" t="s">
        <v>424</v>
      </c>
    </row>
    <row r="10" spans="1:13" ht="30" customHeight="1" x14ac:dyDescent="0.45">
      <c r="A10" s="40" t="s">
        <v>205</v>
      </c>
      <c r="B10" s="40" t="s">
        <v>206</v>
      </c>
      <c r="C10" s="40" t="s">
        <v>1115</v>
      </c>
      <c r="D10" s="41" t="s">
        <v>919</v>
      </c>
      <c r="E10" s="40">
        <v>600</v>
      </c>
      <c r="F10" s="40" t="s">
        <v>160</v>
      </c>
      <c r="G10" s="40" t="s">
        <v>1982</v>
      </c>
      <c r="H10" s="40" t="s">
        <v>1324</v>
      </c>
      <c r="I10" s="40" t="s">
        <v>561</v>
      </c>
      <c r="J10" s="40" t="s">
        <v>658</v>
      </c>
      <c r="K10" s="41" t="s">
        <v>1983</v>
      </c>
      <c r="L10" s="40" t="s">
        <v>1984</v>
      </c>
      <c r="M10" s="40" t="s">
        <v>424</v>
      </c>
    </row>
    <row r="11" spans="1:13" ht="30" customHeight="1" x14ac:dyDescent="0.45">
      <c r="A11" s="42" t="s">
        <v>209</v>
      </c>
      <c r="B11" s="42" t="s">
        <v>210</v>
      </c>
      <c r="C11" s="42" t="s">
        <v>1115</v>
      </c>
      <c r="D11" s="43" t="s">
        <v>920</v>
      </c>
      <c r="E11" s="42">
        <v>2200</v>
      </c>
      <c r="F11" s="42" t="s">
        <v>490</v>
      </c>
      <c r="G11" s="42" t="s">
        <v>1985</v>
      </c>
      <c r="H11" s="42" t="s">
        <v>1324</v>
      </c>
      <c r="I11" s="42" t="s">
        <v>921</v>
      </c>
      <c r="J11" s="42" t="s">
        <v>658</v>
      </c>
      <c r="K11" s="43" t="s">
        <v>1969</v>
      </c>
      <c r="L11" s="42" t="s">
        <v>1984</v>
      </c>
      <c r="M11" s="42" t="s">
        <v>424</v>
      </c>
    </row>
    <row r="12" spans="1:13" ht="30" customHeight="1" x14ac:dyDescent="0.45">
      <c r="A12" s="40" t="s">
        <v>209</v>
      </c>
      <c r="B12" s="40" t="s">
        <v>210</v>
      </c>
      <c r="C12" s="40" t="s">
        <v>1115</v>
      </c>
      <c r="D12" s="41" t="s">
        <v>1986</v>
      </c>
      <c r="E12" s="40">
        <v>800</v>
      </c>
      <c r="F12" s="40" t="s">
        <v>490</v>
      </c>
      <c r="G12" s="40" t="s">
        <v>1987</v>
      </c>
      <c r="H12" s="40" t="s">
        <v>1324</v>
      </c>
      <c r="I12" s="40" t="s">
        <v>921</v>
      </c>
      <c r="J12" s="40" t="s">
        <v>658</v>
      </c>
      <c r="K12" s="41" t="s">
        <v>1969</v>
      </c>
      <c r="L12" s="40" t="s">
        <v>1988</v>
      </c>
      <c r="M12" s="40" t="s">
        <v>424</v>
      </c>
    </row>
    <row r="13" spans="1:13" ht="30" customHeight="1" x14ac:dyDescent="0.45">
      <c r="A13" s="42" t="s">
        <v>209</v>
      </c>
      <c r="B13" s="42" t="s">
        <v>210</v>
      </c>
      <c r="C13" s="42" t="s">
        <v>1115</v>
      </c>
      <c r="D13" s="43" t="s">
        <v>922</v>
      </c>
      <c r="E13" s="42">
        <v>1200</v>
      </c>
      <c r="F13" s="42" t="s">
        <v>490</v>
      </c>
      <c r="G13" s="42" t="s">
        <v>1989</v>
      </c>
      <c r="H13" s="42" t="s">
        <v>1324</v>
      </c>
      <c r="I13" s="42" t="s">
        <v>923</v>
      </c>
      <c r="J13" s="42" t="s">
        <v>684</v>
      </c>
      <c r="K13" s="43" t="s">
        <v>1969</v>
      </c>
      <c r="L13" s="42" t="s">
        <v>1984</v>
      </c>
      <c r="M13" s="42" t="s">
        <v>1990</v>
      </c>
    </row>
    <row r="14" spans="1:13" ht="30" customHeight="1" x14ac:dyDescent="0.45">
      <c r="A14" s="40" t="s">
        <v>213</v>
      </c>
      <c r="B14" s="40" t="s">
        <v>214</v>
      </c>
      <c r="C14" s="40" t="s">
        <v>1314</v>
      </c>
      <c r="D14" s="41" t="s">
        <v>1991</v>
      </c>
      <c r="E14" s="40">
        <v>5000</v>
      </c>
      <c r="F14" s="40" t="s">
        <v>490</v>
      </c>
      <c r="G14" s="40" t="s">
        <v>1992</v>
      </c>
      <c r="H14" s="40" t="s">
        <v>1958</v>
      </c>
      <c r="I14" s="40" t="s">
        <v>927</v>
      </c>
      <c r="J14" s="40" t="s">
        <v>1357</v>
      </c>
      <c r="K14" s="41" t="s">
        <v>1324</v>
      </c>
      <c r="L14" s="40" t="s">
        <v>1959</v>
      </c>
      <c r="M14" s="40" t="s">
        <v>1993</v>
      </c>
    </row>
    <row r="15" spans="1:13" ht="30" customHeight="1" x14ac:dyDescent="0.45">
      <c r="A15" s="42" t="s">
        <v>213</v>
      </c>
      <c r="B15" s="42" t="s">
        <v>214</v>
      </c>
      <c r="C15" s="42" t="s">
        <v>1360</v>
      </c>
      <c r="D15" s="43" t="s">
        <v>1994</v>
      </c>
      <c r="E15" s="42">
        <v>3000</v>
      </c>
      <c r="F15" s="42" t="s">
        <v>490</v>
      </c>
      <c r="G15" s="42" t="s">
        <v>1995</v>
      </c>
      <c r="H15" s="42" t="s">
        <v>1977</v>
      </c>
      <c r="I15" s="42" t="s">
        <v>930</v>
      </c>
      <c r="J15" s="42" t="s">
        <v>931</v>
      </c>
      <c r="K15" s="43" t="s">
        <v>1324</v>
      </c>
      <c r="L15" s="42" t="s">
        <v>1326</v>
      </c>
      <c r="M15" s="42" t="s">
        <v>424</v>
      </c>
    </row>
    <row r="16" spans="1:13" ht="30" customHeight="1" x14ac:dyDescent="0.45">
      <c r="A16" s="40" t="s">
        <v>213</v>
      </c>
      <c r="B16" s="40" t="s">
        <v>214</v>
      </c>
      <c r="C16" s="40" t="s">
        <v>1966</v>
      </c>
      <c r="D16" s="41" t="s">
        <v>932</v>
      </c>
      <c r="E16" s="40">
        <v>2000</v>
      </c>
      <c r="F16" s="40" t="s">
        <v>490</v>
      </c>
      <c r="G16" s="40" t="s">
        <v>1996</v>
      </c>
      <c r="H16" s="40" t="s">
        <v>1979</v>
      </c>
      <c r="I16" s="40" t="s">
        <v>933</v>
      </c>
      <c r="J16" s="40" t="s">
        <v>934</v>
      </c>
      <c r="K16" s="41" t="s">
        <v>1969</v>
      </c>
      <c r="L16" s="40" t="s">
        <v>1997</v>
      </c>
      <c r="M16" s="40" t="s">
        <v>424</v>
      </c>
    </row>
  </sheetData>
  <autoFilter ref="A1:M1" xr:uid="{00000000-0009-0000-0000-000027000000}"/>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4"/>
  <sheetViews>
    <sheetView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6" customWidth="1"/>
    <col min="3" max="3" width="14" customWidth="1"/>
    <col min="4" max="4" width="22" customWidth="1"/>
    <col min="5" max="5" width="26" customWidth="1"/>
    <col min="6" max="6" width="28" customWidth="1"/>
    <col min="7" max="7" width="18" customWidth="1"/>
    <col min="8" max="8" width="30" customWidth="1"/>
  </cols>
  <sheetData>
    <row r="1" spans="1:8" ht="27.75" customHeight="1" x14ac:dyDescent="0.45">
      <c r="A1" s="39" t="s">
        <v>1998</v>
      </c>
      <c r="B1" s="39" t="s">
        <v>1999</v>
      </c>
      <c r="C1" s="39" t="s">
        <v>405</v>
      </c>
      <c r="D1" s="39" t="s">
        <v>2000</v>
      </c>
      <c r="E1" s="39" t="s">
        <v>2001</v>
      </c>
      <c r="F1" s="39" t="s">
        <v>2002</v>
      </c>
      <c r="G1" s="39" t="s">
        <v>2003</v>
      </c>
      <c r="H1" s="39" t="s">
        <v>291</v>
      </c>
    </row>
    <row r="2" spans="1:8" ht="30" customHeight="1" x14ac:dyDescent="0.45">
      <c r="A2" s="40" t="s">
        <v>2004</v>
      </c>
      <c r="B2" s="40" t="s">
        <v>2005</v>
      </c>
      <c r="C2" s="40" t="s">
        <v>439</v>
      </c>
      <c r="D2" s="41" t="s">
        <v>2006</v>
      </c>
      <c r="E2" s="41" t="s">
        <v>2007</v>
      </c>
      <c r="F2" s="41" t="s">
        <v>2008</v>
      </c>
      <c r="G2" s="40" t="s">
        <v>2009</v>
      </c>
      <c r="H2" s="41" t="s">
        <v>2010</v>
      </c>
    </row>
    <row r="3" spans="1:8" ht="30" customHeight="1" x14ac:dyDescent="0.45">
      <c r="A3" s="42" t="s">
        <v>2011</v>
      </c>
      <c r="B3" s="42" t="s">
        <v>2012</v>
      </c>
      <c r="C3" s="42" t="s">
        <v>439</v>
      </c>
      <c r="D3" s="43" t="s">
        <v>2013</v>
      </c>
      <c r="E3" s="43" t="s">
        <v>2014</v>
      </c>
      <c r="F3" s="43" t="s">
        <v>2008</v>
      </c>
      <c r="G3" s="42" t="s">
        <v>2009</v>
      </c>
      <c r="H3" s="43" t="s">
        <v>2015</v>
      </c>
    </row>
    <row r="4" spans="1:8" ht="30" customHeight="1" x14ac:dyDescent="0.45">
      <c r="A4" s="40" t="s">
        <v>2016</v>
      </c>
      <c r="B4" s="40" t="s">
        <v>2017</v>
      </c>
      <c r="C4" s="40" t="s">
        <v>439</v>
      </c>
      <c r="D4" s="41" t="s">
        <v>232</v>
      </c>
      <c r="E4" s="41" t="s">
        <v>2018</v>
      </c>
      <c r="F4" s="41" t="s">
        <v>2019</v>
      </c>
      <c r="G4" s="40" t="s">
        <v>2020</v>
      </c>
      <c r="H4" s="41" t="s">
        <v>2021</v>
      </c>
    </row>
    <row r="5" spans="1:8" ht="30" customHeight="1" x14ac:dyDescent="0.45">
      <c r="A5" s="42" t="s">
        <v>2022</v>
      </c>
      <c r="B5" s="42" t="s">
        <v>947</v>
      </c>
      <c r="C5" s="42" t="s">
        <v>2023</v>
      </c>
      <c r="D5" s="43" t="s">
        <v>2013</v>
      </c>
      <c r="E5" s="43" t="s">
        <v>2018</v>
      </c>
      <c r="F5" s="43" t="s">
        <v>2008</v>
      </c>
      <c r="G5" s="42" t="s">
        <v>2024</v>
      </c>
      <c r="H5" s="43" t="s">
        <v>2025</v>
      </c>
    </row>
    <row r="6" spans="1:8" ht="30" customHeight="1" x14ac:dyDescent="0.45">
      <c r="A6" s="40" t="s">
        <v>2026</v>
      </c>
      <c r="B6" s="40" t="s">
        <v>2027</v>
      </c>
      <c r="C6" s="40" t="s">
        <v>433</v>
      </c>
      <c r="D6" s="41" t="s">
        <v>2006</v>
      </c>
      <c r="E6" s="41" t="s">
        <v>2028</v>
      </c>
      <c r="F6" s="41" t="s">
        <v>2008</v>
      </c>
      <c r="G6" s="40" t="s">
        <v>2024</v>
      </c>
      <c r="H6" s="41" t="s">
        <v>2029</v>
      </c>
    </row>
    <row r="7" spans="1:8" ht="30" customHeight="1" x14ac:dyDescent="0.45">
      <c r="A7" s="42" t="s">
        <v>2030</v>
      </c>
      <c r="B7" s="42" t="s">
        <v>2031</v>
      </c>
      <c r="C7" s="42" t="s">
        <v>433</v>
      </c>
      <c r="D7" s="43" t="s">
        <v>2013</v>
      </c>
      <c r="E7" s="43" t="s">
        <v>2014</v>
      </c>
      <c r="F7" s="43" t="s">
        <v>2008</v>
      </c>
      <c r="G7" s="42" t="s">
        <v>2024</v>
      </c>
      <c r="H7" s="43" t="s">
        <v>2032</v>
      </c>
    </row>
    <row r="8" spans="1:8" ht="30" customHeight="1" x14ac:dyDescent="0.45">
      <c r="A8" s="40" t="s">
        <v>2033</v>
      </c>
      <c r="B8" s="40" t="s">
        <v>2034</v>
      </c>
      <c r="C8" s="40" t="s">
        <v>419</v>
      </c>
      <c r="D8" s="41" t="s">
        <v>232</v>
      </c>
      <c r="E8" s="41" t="s">
        <v>2018</v>
      </c>
      <c r="F8" s="41" t="s">
        <v>2035</v>
      </c>
      <c r="G8" s="40" t="s">
        <v>2036</v>
      </c>
      <c r="H8" s="41" t="s">
        <v>2037</v>
      </c>
    </row>
    <row r="9" spans="1:8" ht="30" customHeight="1" x14ac:dyDescent="0.45">
      <c r="A9" s="42" t="s">
        <v>2038</v>
      </c>
      <c r="B9" s="42" t="s">
        <v>2039</v>
      </c>
      <c r="C9" s="42" t="s">
        <v>419</v>
      </c>
      <c r="D9" s="43" t="s">
        <v>232</v>
      </c>
      <c r="E9" s="43" t="s">
        <v>2018</v>
      </c>
      <c r="F9" s="43" t="s">
        <v>2035</v>
      </c>
      <c r="G9" s="42" t="s">
        <v>2036</v>
      </c>
      <c r="H9" s="43" t="s">
        <v>2040</v>
      </c>
    </row>
    <row r="10" spans="1:8" ht="30" customHeight="1" x14ac:dyDescent="0.45">
      <c r="A10" s="40" t="s">
        <v>2041</v>
      </c>
      <c r="B10" s="40" t="s">
        <v>2042</v>
      </c>
      <c r="C10" s="40" t="s">
        <v>846</v>
      </c>
      <c r="D10" s="41" t="s">
        <v>2043</v>
      </c>
      <c r="E10" s="41" t="s">
        <v>2044</v>
      </c>
      <c r="F10" s="41" t="s">
        <v>2045</v>
      </c>
      <c r="G10" s="40" t="s">
        <v>2046</v>
      </c>
      <c r="H10" s="41" t="s">
        <v>2047</v>
      </c>
    </row>
    <row r="11" spans="1:8" ht="30" customHeight="1" x14ac:dyDescent="0.45">
      <c r="A11" s="42" t="s">
        <v>2048</v>
      </c>
      <c r="B11" s="42" t="s">
        <v>984</v>
      </c>
      <c r="C11" s="42" t="s">
        <v>2049</v>
      </c>
      <c r="D11" s="43" t="s">
        <v>2043</v>
      </c>
      <c r="E11" s="43" t="s">
        <v>2044</v>
      </c>
      <c r="F11" s="43" t="s">
        <v>2050</v>
      </c>
      <c r="G11" s="42" t="s">
        <v>2051</v>
      </c>
      <c r="H11" s="43" t="s">
        <v>2052</v>
      </c>
    </row>
    <row r="12" spans="1:8" ht="30" customHeight="1" x14ac:dyDescent="0.45">
      <c r="A12" s="40" t="s">
        <v>2053</v>
      </c>
      <c r="B12" s="40" t="s">
        <v>910</v>
      </c>
      <c r="C12" s="40" t="s">
        <v>2054</v>
      </c>
      <c r="D12" s="41" t="s">
        <v>2043</v>
      </c>
      <c r="E12" s="41" t="s">
        <v>2055</v>
      </c>
      <c r="F12" s="41" t="s">
        <v>2056</v>
      </c>
      <c r="G12" s="40" t="s">
        <v>2054</v>
      </c>
      <c r="H12" s="41" t="s">
        <v>2057</v>
      </c>
    </row>
    <row r="13" spans="1:8" ht="30" customHeight="1" x14ac:dyDescent="0.45">
      <c r="A13" s="42" t="s">
        <v>2058</v>
      </c>
      <c r="B13" s="42" t="s">
        <v>960</v>
      </c>
      <c r="C13" s="42" t="s">
        <v>2059</v>
      </c>
      <c r="D13" s="43" t="s">
        <v>2013</v>
      </c>
      <c r="E13" s="43" t="s">
        <v>2014</v>
      </c>
      <c r="F13" s="43" t="s">
        <v>2008</v>
      </c>
      <c r="G13" s="42" t="s">
        <v>2060</v>
      </c>
      <c r="H13" s="43" t="s">
        <v>2061</v>
      </c>
    </row>
    <row r="14" spans="1:8" ht="30" customHeight="1" x14ac:dyDescent="0.45">
      <c r="A14" s="40" t="s">
        <v>2062</v>
      </c>
      <c r="B14" s="40" t="s">
        <v>2063</v>
      </c>
      <c r="C14" s="40" t="s">
        <v>2059</v>
      </c>
      <c r="D14" s="41" t="s">
        <v>2043</v>
      </c>
      <c r="E14" s="41" t="s">
        <v>2055</v>
      </c>
      <c r="F14" s="41" t="s">
        <v>2064</v>
      </c>
      <c r="G14" s="40" t="s">
        <v>2065</v>
      </c>
      <c r="H14" s="41" t="s">
        <v>2066</v>
      </c>
    </row>
  </sheetData>
  <autoFilter ref="A1:H1" xr:uid="{00000000-0009-0000-0000-000028000000}"/>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6"/>
  <sheetViews>
    <sheetView zoomScaleNormal="100" workbookViewId="0">
      <pane ySplit="1" topLeftCell="A2" activePane="bottomLeft" state="frozen"/>
      <selection pane="bottomLeft"/>
    </sheetView>
  </sheetViews>
  <sheetFormatPr defaultColWidth="8.59765625" defaultRowHeight="14.25" x14ac:dyDescent="0.45"/>
  <cols>
    <col min="1" max="1" width="9" customWidth="1"/>
    <col min="2" max="2" width="22" customWidth="1"/>
    <col min="3" max="3" width="40" customWidth="1"/>
    <col min="4" max="4" width="32" customWidth="1"/>
    <col min="5" max="5" width="14" customWidth="1"/>
    <col min="6" max="6" width="12" customWidth="1"/>
    <col min="7" max="7" width="40" customWidth="1"/>
    <col min="8" max="8" width="18" customWidth="1"/>
    <col min="9" max="9" width="13" customWidth="1"/>
  </cols>
  <sheetData>
    <row r="1" spans="1:9" ht="27.75" customHeight="1" x14ac:dyDescent="0.45">
      <c r="A1" s="39" t="s">
        <v>131</v>
      </c>
      <c r="B1" s="39" t="s">
        <v>132</v>
      </c>
      <c r="C1" s="39" t="s">
        <v>2067</v>
      </c>
      <c r="D1" s="39" t="s">
        <v>2068</v>
      </c>
      <c r="E1" s="39" t="s">
        <v>2069</v>
      </c>
      <c r="F1" s="39" t="s">
        <v>2070</v>
      </c>
      <c r="G1" s="39" t="s">
        <v>2071</v>
      </c>
      <c r="H1" s="39" t="s">
        <v>2072</v>
      </c>
      <c r="I1" s="39" t="s">
        <v>1895</v>
      </c>
    </row>
    <row r="2" spans="1:9" ht="43.5" customHeight="1" x14ac:dyDescent="0.45">
      <c r="A2" s="40" t="s">
        <v>197</v>
      </c>
      <c r="B2" s="40" t="s">
        <v>198</v>
      </c>
      <c r="C2" s="41" t="s">
        <v>2073</v>
      </c>
      <c r="D2" s="41" t="s">
        <v>2074</v>
      </c>
      <c r="E2" s="40">
        <v>8</v>
      </c>
      <c r="F2" s="40" t="s">
        <v>2075</v>
      </c>
      <c r="G2" s="41" t="s">
        <v>2076</v>
      </c>
      <c r="H2" s="40" t="s">
        <v>817</v>
      </c>
      <c r="I2" s="40" t="s">
        <v>2077</v>
      </c>
    </row>
    <row r="3" spans="1:9" ht="43.5" customHeight="1" x14ac:dyDescent="0.45">
      <c r="A3" s="42" t="s">
        <v>204</v>
      </c>
      <c r="B3" s="42" t="s">
        <v>153</v>
      </c>
      <c r="C3" s="43" t="s">
        <v>2078</v>
      </c>
      <c r="D3" s="43" t="s">
        <v>2079</v>
      </c>
      <c r="E3" s="42">
        <v>18</v>
      </c>
      <c r="F3" s="42" t="s">
        <v>2080</v>
      </c>
      <c r="G3" s="43" t="s">
        <v>2081</v>
      </c>
      <c r="H3" s="42" t="s">
        <v>2082</v>
      </c>
      <c r="I3" s="42" t="s">
        <v>2083</v>
      </c>
    </row>
    <row r="4" spans="1:9" ht="43.5" customHeight="1" x14ac:dyDescent="0.45">
      <c r="A4" s="40" t="s">
        <v>205</v>
      </c>
      <c r="B4" s="40" t="s">
        <v>206</v>
      </c>
      <c r="C4" s="41" t="s">
        <v>2084</v>
      </c>
      <c r="D4" s="41" t="s">
        <v>2085</v>
      </c>
      <c r="E4" s="40">
        <v>11</v>
      </c>
      <c r="F4" s="40" t="s">
        <v>2075</v>
      </c>
      <c r="G4" s="41" t="s">
        <v>2086</v>
      </c>
      <c r="H4" s="40" t="s">
        <v>817</v>
      </c>
      <c r="I4" s="40" t="s">
        <v>927</v>
      </c>
    </row>
    <row r="5" spans="1:9" ht="43.5" customHeight="1" x14ac:dyDescent="0.45">
      <c r="A5" s="42" t="s">
        <v>209</v>
      </c>
      <c r="B5" s="42" t="s">
        <v>210</v>
      </c>
      <c r="C5" s="43" t="s">
        <v>2087</v>
      </c>
      <c r="D5" s="43" t="s">
        <v>2088</v>
      </c>
      <c r="E5" s="42">
        <v>9</v>
      </c>
      <c r="F5" s="42" t="s">
        <v>2080</v>
      </c>
      <c r="G5" s="43" t="s">
        <v>2089</v>
      </c>
      <c r="H5" s="42" t="s">
        <v>817</v>
      </c>
      <c r="I5" s="42" t="s">
        <v>845</v>
      </c>
    </row>
    <row r="6" spans="1:9" ht="43.5" customHeight="1" x14ac:dyDescent="0.45">
      <c r="A6" s="40" t="s">
        <v>213</v>
      </c>
      <c r="B6" s="40" t="s">
        <v>214</v>
      </c>
      <c r="C6" s="41" t="s">
        <v>2090</v>
      </c>
      <c r="D6" s="41" t="s">
        <v>2091</v>
      </c>
      <c r="E6" s="40">
        <v>6</v>
      </c>
      <c r="F6" s="40" t="s">
        <v>2092</v>
      </c>
      <c r="G6" s="41" t="s">
        <v>2093</v>
      </c>
      <c r="H6" s="40" t="s">
        <v>2094</v>
      </c>
      <c r="I6" s="40" t="s">
        <v>2095</v>
      </c>
    </row>
  </sheetData>
  <autoFilter ref="A1:I1" xr:uid="{00000000-0009-0000-0000-000029000000}"/>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
  <sheetViews>
    <sheetView zoomScaleNormal="100" workbookViewId="0">
      <pane ySplit="1" topLeftCell="A2" activePane="bottomLeft" state="frozen"/>
      <selection pane="bottomLeft"/>
    </sheetView>
  </sheetViews>
  <sheetFormatPr defaultColWidth="8.59765625" defaultRowHeight="14.25" x14ac:dyDescent="0.45"/>
  <cols>
    <col min="1" max="1" width="15" customWidth="1"/>
    <col min="2" max="2" width="9" customWidth="1"/>
    <col min="3" max="3" width="22" customWidth="1"/>
    <col min="4" max="4" width="40" customWidth="1"/>
    <col min="5" max="5" width="18" customWidth="1"/>
    <col min="6" max="6" width="46" customWidth="1"/>
    <col min="7" max="7" width="14" customWidth="1"/>
    <col min="8" max="8" width="24" customWidth="1"/>
    <col min="9" max="9" width="20" customWidth="1"/>
  </cols>
  <sheetData>
    <row r="1" spans="1:9" ht="27.75" customHeight="1" x14ac:dyDescent="0.45">
      <c r="A1" s="39" t="s">
        <v>935</v>
      </c>
      <c r="B1" s="39" t="s">
        <v>131</v>
      </c>
      <c r="C1" s="39" t="s">
        <v>132</v>
      </c>
      <c r="D1" s="39" t="s">
        <v>1486</v>
      </c>
      <c r="E1" s="39" t="s">
        <v>416</v>
      </c>
      <c r="F1" s="39" t="s">
        <v>2096</v>
      </c>
      <c r="G1" s="39" t="s">
        <v>2097</v>
      </c>
      <c r="H1" s="39" t="s">
        <v>294</v>
      </c>
      <c r="I1" s="39" t="s">
        <v>1189</v>
      </c>
    </row>
    <row r="2" spans="1:9" ht="45.75" customHeight="1" x14ac:dyDescent="0.45">
      <c r="A2" s="40" t="s">
        <v>2098</v>
      </c>
      <c r="B2" s="40" t="s">
        <v>197</v>
      </c>
      <c r="C2" s="40" t="s">
        <v>198</v>
      </c>
      <c r="D2" s="41" t="s">
        <v>2099</v>
      </c>
      <c r="E2" s="40" t="s">
        <v>2100</v>
      </c>
      <c r="F2" s="41" t="s">
        <v>2101</v>
      </c>
      <c r="G2" s="40" t="s">
        <v>2077</v>
      </c>
      <c r="H2" s="40" t="s">
        <v>2102</v>
      </c>
      <c r="I2" s="41" t="s">
        <v>1498</v>
      </c>
    </row>
    <row r="3" spans="1:9" ht="45.75" customHeight="1" x14ac:dyDescent="0.45">
      <c r="A3" s="42" t="s">
        <v>2103</v>
      </c>
      <c r="B3" s="42" t="s">
        <v>204</v>
      </c>
      <c r="C3" s="42" t="s">
        <v>153</v>
      </c>
      <c r="D3" s="43" t="s">
        <v>2104</v>
      </c>
      <c r="E3" s="42" t="s">
        <v>2100</v>
      </c>
      <c r="F3" s="43" t="s">
        <v>2105</v>
      </c>
      <c r="G3" s="42" t="s">
        <v>2083</v>
      </c>
      <c r="H3" s="42" t="s">
        <v>2106</v>
      </c>
      <c r="I3" s="43" t="s">
        <v>1498</v>
      </c>
    </row>
    <row r="4" spans="1:9" ht="45.75" customHeight="1" x14ac:dyDescent="0.45">
      <c r="A4" s="40" t="s">
        <v>2107</v>
      </c>
      <c r="B4" s="40" t="s">
        <v>205</v>
      </c>
      <c r="C4" s="40" t="s">
        <v>206</v>
      </c>
      <c r="D4" s="41" t="s">
        <v>1535</v>
      </c>
      <c r="E4" s="40" t="s">
        <v>1993</v>
      </c>
      <c r="F4" s="41" t="s">
        <v>2108</v>
      </c>
      <c r="G4" s="40" t="s">
        <v>927</v>
      </c>
      <c r="H4" s="40" t="s">
        <v>2109</v>
      </c>
      <c r="I4" s="41" t="s">
        <v>1498</v>
      </c>
    </row>
    <row r="5" spans="1:9" ht="45.75" customHeight="1" x14ac:dyDescent="0.45">
      <c r="A5" s="42" t="s">
        <v>2110</v>
      </c>
      <c r="B5" s="42" t="s">
        <v>209</v>
      </c>
      <c r="C5" s="42" t="s">
        <v>210</v>
      </c>
      <c r="D5" s="43" t="s">
        <v>2111</v>
      </c>
      <c r="E5" s="42" t="s">
        <v>1993</v>
      </c>
      <c r="F5" s="43" t="s">
        <v>2112</v>
      </c>
      <c r="G5" s="42" t="s">
        <v>845</v>
      </c>
      <c r="H5" s="42" t="s">
        <v>2109</v>
      </c>
      <c r="I5" s="43" t="s">
        <v>1498</v>
      </c>
    </row>
    <row r="6" spans="1:9" ht="45.75" customHeight="1" x14ac:dyDescent="0.45">
      <c r="A6" s="40" t="s">
        <v>2113</v>
      </c>
      <c r="B6" s="40" t="s">
        <v>213</v>
      </c>
      <c r="C6" s="40" t="s">
        <v>214</v>
      </c>
      <c r="D6" s="41" t="s">
        <v>2114</v>
      </c>
      <c r="E6" s="40" t="s">
        <v>2115</v>
      </c>
      <c r="F6" s="41" t="s">
        <v>2116</v>
      </c>
      <c r="G6" s="40" t="s">
        <v>2095</v>
      </c>
      <c r="H6" s="40" t="s">
        <v>2109</v>
      </c>
      <c r="I6" s="41" t="s">
        <v>2117</v>
      </c>
    </row>
  </sheetData>
  <autoFilter ref="A1:I1" xr:uid="{00000000-0009-0000-0000-00002A000000}"/>
  <pageMargins left="0.75" right="0.75" top="1" bottom="1" header="0.511811023622047" footer="0.511811023622047"/>
  <pageSetup paperSize="9"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zoomScaleNormal="100" workbookViewId="0">
      <pane ySplit="1" topLeftCell="A2" activePane="bottomLeft" state="frozen"/>
      <selection pane="bottomLeft"/>
    </sheetView>
  </sheetViews>
  <sheetFormatPr defaultColWidth="8.59765625" defaultRowHeight="14.25" x14ac:dyDescent="0.45"/>
  <cols>
    <col min="1" max="1" width="10" customWidth="1"/>
    <col min="2" max="2" width="9" customWidth="1"/>
    <col min="3" max="3" width="22" customWidth="1"/>
    <col min="4" max="4" width="12" customWidth="1"/>
    <col min="5" max="5" width="16" customWidth="1"/>
    <col min="6" max="7" width="44" customWidth="1"/>
  </cols>
  <sheetData>
    <row r="1" spans="1:7" ht="27.75" customHeight="1" x14ac:dyDescent="0.45">
      <c r="A1" s="39" t="s">
        <v>2118</v>
      </c>
      <c r="B1" s="39" t="s">
        <v>131</v>
      </c>
      <c r="C1" s="39" t="s">
        <v>132</v>
      </c>
      <c r="D1" s="39" t="s">
        <v>2119</v>
      </c>
      <c r="E1" s="39" t="s">
        <v>2120</v>
      </c>
      <c r="F1" s="39" t="s">
        <v>2121</v>
      </c>
      <c r="G1" s="39" t="s">
        <v>2122</v>
      </c>
    </row>
    <row r="2" spans="1:7" ht="39.75" customHeight="1" x14ac:dyDescent="0.45">
      <c r="A2" s="40" t="s">
        <v>2123</v>
      </c>
      <c r="B2" s="40" t="s">
        <v>213</v>
      </c>
      <c r="C2" s="40" t="s">
        <v>214</v>
      </c>
      <c r="D2" s="40" t="s">
        <v>1356</v>
      </c>
      <c r="E2" s="40" t="s">
        <v>2124</v>
      </c>
      <c r="F2" s="41" t="s">
        <v>2125</v>
      </c>
      <c r="G2" s="41" t="s">
        <v>2126</v>
      </c>
    </row>
    <row r="3" spans="1:7" ht="39.75" customHeight="1" x14ac:dyDescent="0.45">
      <c r="A3" s="42" t="s">
        <v>2127</v>
      </c>
      <c r="B3" s="42" t="s">
        <v>213</v>
      </c>
      <c r="C3" s="42" t="s">
        <v>214</v>
      </c>
      <c r="D3" s="42" t="s">
        <v>2128</v>
      </c>
      <c r="E3" s="42" t="s">
        <v>2129</v>
      </c>
      <c r="F3" s="43" t="s">
        <v>2130</v>
      </c>
      <c r="G3" s="43" t="s">
        <v>2131</v>
      </c>
    </row>
    <row r="4" spans="1:7" ht="39.75" customHeight="1" x14ac:dyDescent="0.45">
      <c r="A4" s="40" t="s">
        <v>2132</v>
      </c>
      <c r="B4" s="40" t="s">
        <v>213</v>
      </c>
      <c r="C4" s="40" t="s">
        <v>214</v>
      </c>
      <c r="D4" s="40" t="s">
        <v>2133</v>
      </c>
      <c r="E4" s="40" t="s">
        <v>2134</v>
      </c>
      <c r="F4" s="41" t="s">
        <v>2135</v>
      </c>
      <c r="G4" s="41" t="s">
        <v>2136</v>
      </c>
    </row>
    <row r="5" spans="1:7" ht="39.75" customHeight="1" x14ac:dyDescent="0.45">
      <c r="A5" s="42" t="s">
        <v>2137</v>
      </c>
      <c r="B5" s="42" t="s">
        <v>197</v>
      </c>
      <c r="C5" s="42" t="s">
        <v>198</v>
      </c>
      <c r="D5" s="42" t="s">
        <v>2138</v>
      </c>
      <c r="E5" s="42" t="s">
        <v>2139</v>
      </c>
      <c r="F5" s="43" t="s">
        <v>2140</v>
      </c>
      <c r="G5" s="43" t="s">
        <v>2141</v>
      </c>
    </row>
    <row r="6" spans="1:7" ht="39.75" customHeight="1" x14ac:dyDescent="0.45">
      <c r="A6" s="40" t="s">
        <v>2142</v>
      </c>
      <c r="B6" s="40" t="s">
        <v>209</v>
      </c>
      <c r="C6" s="40" t="s">
        <v>210</v>
      </c>
      <c r="D6" s="40" t="s">
        <v>2143</v>
      </c>
      <c r="E6" s="40" t="s">
        <v>2144</v>
      </c>
      <c r="F6" s="41" t="s">
        <v>2145</v>
      </c>
      <c r="G6" s="41" t="s">
        <v>2146</v>
      </c>
    </row>
    <row r="7" spans="1:7" ht="39.75" customHeight="1" x14ac:dyDescent="0.45">
      <c r="A7" s="42" t="s">
        <v>2147</v>
      </c>
      <c r="B7" s="42" t="s">
        <v>204</v>
      </c>
      <c r="C7" s="42" t="s">
        <v>153</v>
      </c>
      <c r="D7" s="42" t="s">
        <v>2143</v>
      </c>
      <c r="E7" s="42" t="s">
        <v>2148</v>
      </c>
      <c r="F7" s="43" t="s">
        <v>2149</v>
      </c>
      <c r="G7" s="43" t="s">
        <v>2150</v>
      </c>
    </row>
  </sheetData>
  <autoFilter ref="A1:G1" xr:uid="{00000000-0009-0000-0000-00002B000000}"/>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1"/>
  <sheetViews>
    <sheetView zoomScaleNormal="100" workbookViewId="0">
      <pane ySplit="1" topLeftCell="A2" activePane="bottomLeft" state="frozen"/>
      <selection pane="bottomLeft"/>
    </sheetView>
  </sheetViews>
  <sheetFormatPr defaultColWidth="8.59765625" defaultRowHeight="14.25" x14ac:dyDescent="0.45"/>
  <cols>
    <col min="1" max="1" width="12" customWidth="1"/>
    <col min="2" max="2" width="10" customWidth="1"/>
    <col min="3" max="3" width="8" customWidth="1"/>
    <col min="4" max="6" width="14" customWidth="1"/>
  </cols>
  <sheetData>
    <row r="1" spans="1:6" ht="27.75" customHeight="1" x14ac:dyDescent="0.45">
      <c r="A1" s="39" t="s">
        <v>2151</v>
      </c>
      <c r="B1" s="39" t="s">
        <v>836</v>
      </c>
      <c r="C1" s="39" t="s">
        <v>2152</v>
      </c>
      <c r="D1" s="39" t="s">
        <v>2153</v>
      </c>
      <c r="E1" s="39" t="s">
        <v>2154</v>
      </c>
      <c r="F1" s="39" t="s">
        <v>1240</v>
      </c>
    </row>
    <row r="2" spans="1:6" ht="15" customHeight="1" x14ac:dyDescent="0.45">
      <c r="A2" s="40" t="s">
        <v>1921</v>
      </c>
      <c r="B2" s="40" t="s">
        <v>160</v>
      </c>
      <c r="C2" s="40" t="s">
        <v>2155</v>
      </c>
      <c r="D2" s="40">
        <v>2.35</v>
      </c>
      <c r="E2" s="40">
        <v>2.1</v>
      </c>
      <c r="F2" s="40" t="s">
        <v>2156</v>
      </c>
    </row>
    <row r="3" spans="1:6" ht="15" customHeight="1" x14ac:dyDescent="0.45">
      <c r="A3" s="42" t="s">
        <v>1921</v>
      </c>
      <c r="B3" s="42" t="s">
        <v>160</v>
      </c>
      <c r="C3" s="42" t="s">
        <v>2157</v>
      </c>
      <c r="D3" s="42">
        <v>2.48</v>
      </c>
      <c r="E3" s="42">
        <v>2.2200000000000002</v>
      </c>
      <c r="F3" s="42" t="s">
        <v>2156</v>
      </c>
    </row>
    <row r="4" spans="1:6" ht="15" customHeight="1" x14ac:dyDescent="0.45">
      <c r="A4" s="40" t="s">
        <v>1921</v>
      </c>
      <c r="B4" s="40" t="s">
        <v>160</v>
      </c>
      <c r="C4" s="40" t="s">
        <v>2158</v>
      </c>
      <c r="D4" s="40">
        <v>2.5499999999999998</v>
      </c>
      <c r="E4" s="40">
        <v>2.2999999999999998</v>
      </c>
      <c r="F4" s="40" t="s">
        <v>2156</v>
      </c>
    </row>
    <row r="5" spans="1:6" ht="15" customHeight="1" x14ac:dyDescent="0.45">
      <c r="A5" s="42" t="s">
        <v>1921</v>
      </c>
      <c r="B5" s="42" t="s">
        <v>160</v>
      </c>
      <c r="C5" s="42" t="s">
        <v>2159</v>
      </c>
      <c r="D5" s="42">
        <v>2.62</v>
      </c>
      <c r="E5" s="42">
        <v>2.38</v>
      </c>
      <c r="F5" s="42" t="s">
        <v>2156</v>
      </c>
    </row>
    <row r="6" spans="1:6" ht="15" customHeight="1" x14ac:dyDescent="0.45">
      <c r="A6" s="40" t="s">
        <v>1921</v>
      </c>
      <c r="B6" s="40" t="s">
        <v>160</v>
      </c>
      <c r="C6" s="40" t="s">
        <v>2160</v>
      </c>
      <c r="D6" s="40">
        <v>2.74</v>
      </c>
      <c r="E6" s="40">
        <v>2.4900000000000002</v>
      </c>
      <c r="F6" s="40" t="s">
        <v>2156</v>
      </c>
    </row>
    <row r="7" spans="1:6" ht="15" customHeight="1" x14ac:dyDescent="0.45">
      <c r="A7" s="42" t="s">
        <v>1921</v>
      </c>
      <c r="B7" s="42" t="s">
        <v>160</v>
      </c>
      <c r="C7" s="42" t="s">
        <v>2161</v>
      </c>
      <c r="D7" s="42">
        <v>2.88</v>
      </c>
      <c r="E7" s="42">
        <v>2.61</v>
      </c>
      <c r="F7" s="42" t="s">
        <v>2156</v>
      </c>
    </row>
    <row r="8" spans="1:6" ht="15" customHeight="1" x14ac:dyDescent="0.45">
      <c r="A8" s="40" t="s">
        <v>1921</v>
      </c>
      <c r="B8" s="40" t="s">
        <v>490</v>
      </c>
      <c r="C8" s="40" t="s">
        <v>2155</v>
      </c>
      <c r="D8" s="40">
        <v>4.05</v>
      </c>
      <c r="E8" s="40">
        <v>4.2</v>
      </c>
      <c r="F8" s="40" t="s">
        <v>2156</v>
      </c>
    </row>
    <row r="9" spans="1:6" ht="15" customHeight="1" x14ac:dyDescent="0.45">
      <c r="A9" s="42" t="s">
        <v>1921</v>
      </c>
      <c r="B9" s="42" t="s">
        <v>490</v>
      </c>
      <c r="C9" s="42" t="s">
        <v>2157</v>
      </c>
      <c r="D9" s="42">
        <v>3.95</v>
      </c>
      <c r="E9" s="42">
        <v>4.05</v>
      </c>
      <c r="F9" s="42" t="s">
        <v>2156</v>
      </c>
    </row>
    <row r="10" spans="1:6" ht="15" customHeight="1" x14ac:dyDescent="0.45">
      <c r="A10" s="40" t="s">
        <v>1921</v>
      </c>
      <c r="B10" s="40" t="s">
        <v>490</v>
      </c>
      <c r="C10" s="40" t="s">
        <v>2159</v>
      </c>
      <c r="D10" s="40">
        <v>3.92</v>
      </c>
      <c r="E10" s="40">
        <v>3.98</v>
      </c>
      <c r="F10" s="40" t="s">
        <v>2156</v>
      </c>
    </row>
    <row r="11" spans="1:6" ht="15" customHeight="1" x14ac:dyDescent="0.45">
      <c r="A11" s="42" t="s">
        <v>1921</v>
      </c>
      <c r="B11" s="42" t="s">
        <v>490</v>
      </c>
      <c r="C11" s="42" t="s">
        <v>2161</v>
      </c>
      <c r="D11" s="42">
        <v>4.08</v>
      </c>
      <c r="E11" s="42">
        <v>4.0999999999999996</v>
      </c>
      <c r="F11" s="42" t="s">
        <v>2156</v>
      </c>
    </row>
  </sheetData>
  <autoFilter ref="A1:F1" xr:uid="{00000000-0009-0000-0000-00002C000000}"/>
  <pageMargins left="0.75" right="0.75" top="1" bottom="1" header="0.511811023622047" footer="0.511811023622047"/>
  <pageSetup paperSize="9"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G11"/>
  <sheetViews>
    <sheetView zoomScaleNormal="100" workbookViewId="0">
      <pane ySplit="1" topLeftCell="A2" activePane="bottomLeft" state="frozen"/>
      <selection pane="bottomLeft"/>
    </sheetView>
  </sheetViews>
  <sheetFormatPr defaultColWidth="8.59765625" defaultRowHeight="14.25" x14ac:dyDescent="0.45"/>
  <cols>
    <col min="1" max="1" width="12" customWidth="1"/>
    <col min="2" max="2" width="10" customWidth="1"/>
    <col min="3" max="3" width="8" customWidth="1"/>
    <col min="4" max="4" width="10" customWidth="1"/>
    <col min="5" max="5" width="12" customWidth="1"/>
    <col min="6" max="6" width="10" customWidth="1"/>
    <col min="7" max="7" width="14" customWidth="1"/>
  </cols>
  <sheetData>
    <row r="1" spans="1:7" ht="27.75" customHeight="1" x14ac:dyDescent="0.45">
      <c r="A1" s="39" t="s">
        <v>2162</v>
      </c>
      <c r="B1" s="39" t="s">
        <v>2163</v>
      </c>
      <c r="C1" s="39" t="s">
        <v>2152</v>
      </c>
      <c r="D1" s="39" t="s">
        <v>2164</v>
      </c>
      <c r="E1" s="39" t="s">
        <v>2165</v>
      </c>
      <c r="F1" s="39" t="s">
        <v>2166</v>
      </c>
      <c r="G1" s="39" t="s">
        <v>2167</v>
      </c>
    </row>
    <row r="2" spans="1:7" ht="15" customHeight="1" x14ac:dyDescent="0.45">
      <c r="A2" s="40" t="s">
        <v>1921</v>
      </c>
      <c r="B2" s="40" t="s">
        <v>435</v>
      </c>
      <c r="C2" s="40" t="s">
        <v>2168</v>
      </c>
      <c r="D2" s="40">
        <v>1.085</v>
      </c>
      <c r="E2" s="40">
        <v>15</v>
      </c>
      <c r="F2" s="40">
        <v>1.0865</v>
      </c>
      <c r="G2" s="40">
        <v>7.2</v>
      </c>
    </row>
    <row r="3" spans="1:7" ht="15" customHeight="1" x14ac:dyDescent="0.45">
      <c r="A3" s="42" t="s">
        <v>1921</v>
      </c>
      <c r="B3" s="42" t="s">
        <v>435</v>
      </c>
      <c r="C3" s="42" t="s">
        <v>2169</v>
      </c>
      <c r="D3" s="42">
        <v>1.085</v>
      </c>
      <c r="E3" s="42">
        <v>42</v>
      </c>
      <c r="F3" s="42">
        <v>1.0891999999999999</v>
      </c>
      <c r="G3" s="42">
        <v>7.8</v>
      </c>
    </row>
    <row r="4" spans="1:7" ht="15" customHeight="1" x14ac:dyDescent="0.45">
      <c r="A4" s="40" t="s">
        <v>1921</v>
      </c>
      <c r="B4" s="40" t="s">
        <v>435</v>
      </c>
      <c r="C4" s="40" t="s">
        <v>2170</v>
      </c>
      <c r="D4" s="40">
        <v>1.085</v>
      </c>
      <c r="E4" s="40">
        <v>85</v>
      </c>
      <c r="F4" s="40">
        <v>1.0934999999999999</v>
      </c>
      <c r="G4" s="40">
        <v>8.3000000000000007</v>
      </c>
    </row>
    <row r="5" spans="1:7" ht="15" customHeight="1" x14ac:dyDescent="0.45">
      <c r="A5" s="42" t="s">
        <v>1921</v>
      </c>
      <c r="B5" s="42" t="s">
        <v>435</v>
      </c>
      <c r="C5" s="42" t="s">
        <v>2155</v>
      </c>
      <c r="D5" s="42">
        <v>1.085</v>
      </c>
      <c r="E5" s="42">
        <v>160</v>
      </c>
      <c r="F5" s="42">
        <v>1.101</v>
      </c>
      <c r="G5" s="42">
        <v>8.9</v>
      </c>
    </row>
    <row r="6" spans="1:7" ht="15" customHeight="1" x14ac:dyDescent="0.45">
      <c r="A6" s="40" t="s">
        <v>1921</v>
      </c>
      <c r="B6" s="40" t="s">
        <v>643</v>
      </c>
      <c r="C6" s="40" t="s">
        <v>2169</v>
      </c>
      <c r="D6" s="40">
        <v>1360</v>
      </c>
      <c r="E6" s="40">
        <v>6.5</v>
      </c>
      <c r="F6" s="40">
        <v>1366.5</v>
      </c>
      <c r="G6" s="40">
        <v>9.6</v>
      </c>
    </row>
    <row r="7" spans="1:7" ht="15" customHeight="1" x14ac:dyDescent="0.45">
      <c r="A7" s="42" t="s">
        <v>1921</v>
      </c>
      <c r="B7" s="42" t="s">
        <v>643</v>
      </c>
      <c r="C7" s="42" t="s">
        <v>2155</v>
      </c>
      <c r="D7" s="42">
        <v>1360</v>
      </c>
      <c r="E7" s="42">
        <v>22</v>
      </c>
      <c r="F7" s="42">
        <v>1382</v>
      </c>
      <c r="G7" s="42">
        <v>10.4</v>
      </c>
    </row>
    <row r="8" spans="1:7" ht="15" customHeight="1" x14ac:dyDescent="0.45">
      <c r="A8" s="40" t="s">
        <v>1921</v>
      </c>
      <c r="B8" s="40" t="s">
        <v>648</v>
      </c>
      <c r="C8" s="40" t="s">
        <v>2169</v>
      </c>
      <c r="D8" s="40">
        <v>31.8</v>
      </c>
      <c r="E8" s="40">
        <v>0.1</v>
      </c>
      <c r="F8" s="40">
        <v>31.9</v>
      </c>
      <c r="G8" s="40">
        <v>6.8</v>
      </c>
    </row>
    <row r="9" spans="1:7" ht="15" customHeight="1" x14ac:dyDescent="0.45">
      <c r="A9" s="42" t="s">
        <v>1921</v>
      </c>
      <c r="B9" s="42" t="s">
        <v>648</v>
      </c>
      <c r="C9" s="42" t="s">
        <v>2155</v>
      </c>
      <c r="D9" s="42">
        <v>31.8</v>
      </c>
      <c r="E9" s="42">
        <v>0.4</v>
      </c>
      <c r="F9" s="42">
        <v>32.200000000000003</v>
      </c>
      <c r="G9" s="42">
        <v>7.5</v>
      </c>
    </row>
    <row r="10" spans="1:7" ht="15" customHeight="1" x14ac:dyDescent="0.45">
      <c r="A10" s="40" t="s">
        <v>1921</v>
      </c>
      <c r="B10" s="40" t="s">
        <v>2171</v>
      </c>
      <c r="C10" s="40" t="s">
        <v>2169</v>
      </c>
      <c r="D10" s="40">
        <v>5.95</v>
      </c>
      <c r="E10" s="40">
        <v>0.09</v>
      </c>
      <c r="F10" s="40">
        <v>6.04</v>
      </c>
      <c r="G10" s="40">
        <v>12.5</v>
      </c>
    </row>
    <row r="11" spans="1:7" ht="15" customHeight="1" x14ac:dyDescent="0.45">
      <c r="A11" s="42" t="s">
        <v>1921</v>
      </c>
      <c r="B11" s="42" t="s">
        <v>2171</v>
      </c>
      <c r="C11" s="42" t="s">
        <v>2155</v>
      </c>
      <c r="D11" s="42">
        <v>5.95</v>
      </c>
      <c r="E11" s="42">
        <v>0.35</v>
      </c>
      <c r="F11" s="42">
        <v>6.3</v>
      </c>
      <c r="G11" s="42">
        <v>13.8</v>
      </c>
    </row>
  </sheetData>
  <autoFilter ref="A1:G1" xr:uid="{00000000-0009-0000-0000-00002D000000}"/>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9"/>
  <sheetViews>
    <sheetView zoomScaleNormal="100" workbookViewId="0">
      <pane ySplit="1" topLeftCell="A2" activePane="bottomLeft" state="frozen"/>
      <selection pane="bottomLeft"/>
    </sheetView>
  </sheetViews>
  <sheetFormatPr defaultColWidth="8.59765625" defaultRowHeight="14.25" x14ac:dyDescent="0.45"/>
  <cols>
    <col min="1" max="2" width="12" customWidth="1"/>
    <col min="3" max="5" width="10" customWidth="1"/>
    <col min="6" max="6" width="14" customWidth="1"/>
    <col min="7" max="7" width="12" customWidth="1"/>
  </cols>
  <sheetData>
    <row r="1" spans="1:7" ht="27.75" customHeight="1" x14ac:dyDescent="0.45">
      <c r="A1" s="39" t="s">
        <v>2162</v>
      </c>
      <c r="B1" s="39" t="s">
        <v>1115</v>
      </c>
      <c r="C1" s="39" t="s">
        <v>2152</v>
      </c>
      <c r="D1" s="39" t="s">
        <v>737</v>
      </c>
      <c r="E1" s="39" t="s">
        <v>1363</v>
      </c>
      <c r="F1" s="39" t="s">
        <v>2167</v>
      </c>
      <c r="G1" s="39" t="s">
        <v>2172</v>
      </c>
    </row>
    <row r="2" spans="1:7" ht="15" customHeight="1" x14ac:dyDescent="0.45">
      <c r="A2" s="40" t="s">
        <v>1921</v>
      </c>
      <c r="B2" s="40" t="s">
        <v>2173</v>
      </c>
      <c r="C2" s="40" t="s">
        <v>2174</v>
      </c>
      <c r="D2" s="40">
        <v>80</v>
      </c>
      <c r="E2" s="40" t="s">
        <v>1380</v>
      </c>
      <c r="F2" s="40">
        <v>28</v>
      </c>
      <c r="G2" s="40"/>
    </row>
    <row r="3" spans="1:7" ht="15" customHeight="1" x14ac:dyDescent="0.45">
      <c r="A3" s="42" t="s">
        <v>1921</v>
      </c>
      <c r="B3" s="42" t="s">
        <v>2173</v>
      </c>
      <c r="C3" s="42" t="s">
        <v>2175</v>
      </c>
      <c r="D3" s="42">
        <v>74</v>
      </c>
      <c r="E3" s="42" t="s">
        <v>1380</v>
      </c>
      <c r="F3" s="42">
        <v>29.5</v>
      </c>
      <c r="G3" s="42"/>
    </row>
    <row r="4" spans="1:7" ht="15" customHeight="1" x14ac:dyDescent="0.45">
      <c r="A4" s="40" t="s">
        <v>1921</v>
      </c>
      <c r="B4" s="40" t="s">
        <v>2173</v>
      </c>
      <c r="C4" s="40" t="s">
        <v>2176</v>
      </c>
      <c r="D4" s="40">
        <v>72</v>
      </c>
      <c r="E4" s="40" t="s">
        <v>1380</v>
      </c>
      <c r="F4" s="40">
        <v>27</v>
      </c>
      <c r="G4" s="40"/>
    </row>
    <row r="5" spans="1:7" ht="15" customHeight="1" x14ac:dyDescent="0.45">
      <c r="A5" s="42" t="s">
        <v>1921</v>
      </c>
      <c r="B5" s="42" t="s">
        <v>2177</v>
      </c>
      <c r="C5" s="42" t="s">
        <v>2175</v>
      </c>
      <c r="D5" s="42">
        <v>710</v>
      </c>
      <c r="E5" s="42" t="s">
        <v>2178</v>
      </c>
      <c r="F5" s="42">
        <v>26</v>
      </c>
      <c r="G5" s="42"/>
    </row>
    <row r="6" spans="1:7" ht="15" customHeight="1" x14ac:dyDescent="0.45">
      <c r="A6" s="40" t="s">
        <v>1921</v>
      </c>
      <c r="B6" s="40" t="s">
        <v>2179</v>
      </c>
      <c r="C6" s="40" t="s">
        <v>2175</v>
      </c>
      <c r="D6" s="40">
        <v>92</v>
      </c>
      <c r="E6" s="40" t="s">
        <v>1380</v>
      </c>
      <c r="F6" s="40">
        <v>30</v>
      </c>
      <c r="G6" s="40">
        <v>18</v>
      </c>
    </row>
    <row r="7" spans="1:7" ht="15" customHeight="1" x14ac:dyDescent="0.45">
      <c r="A7" s="42" t="s">
        <v>1921</v>
      </c>
      <c r="B7" s="42" t="s">
        <v>2179</v>
      </c>
      <c r="C7" s="42" t="s">
        <v>2176</v>
      </c>
      <c r="D7" s="42">
        <v>88</v>
      </c>
      <c r="E7" s="42" t="s">
        <v>1380</v>
      </c>
      <c r="F7" s="42">
        <v>28.5</v>
      </c>
      <c r="G7" s="42">
        <v>16</v>
      </c>
    </row>
    <row r="8" spans="1:7" ht="15" customHeight="1" x14ac:dyDescent="0.45">
      <c r="A8" s="40" t="s">
        <v>1921</v>
      </c>
      <c r="B8" s="40" t="s">
        <v>2180</v>
      </c>
      <c r="C8" s="40" t="s">
        <v>2175</v>
      </c>
      <c r="D8" s="40">
        <v>34</v>
      </c>
      <c r="E8" s="40" t="s">
        <v>1383</v>
      </c>
      <c r="F8" s="40">
        <v>42</v>
      </c>
      <c r="G8" s="40"/>
    </row>
    <row r="9" spans="1:7" ht="15" customHeight="1" x14ac:dyDescent="0.45">
      <c r="A9" s="42" t="s">
        <v>1921</v>
      </c>
      <c r="B9" s="42" t="s">
        <v>2180</v>
      </c>
      <c r="C9" s="42" t="s">
        <v>2176</v>
      </c>
      <c r="D9" s="42">
        <v>30</v>
      </c>
      <c r="E9" s="42" t="s">
        <v>1383</v>
      </c>
      <c r="F9" s="42">
        <v>39</v>
      </c>
      <c r="G9" s="42"/>
    </row>
  </sheetData>
  <autoFilter ref="A1:G1" xr:uid="{00000000-0009-0000-0000-00002E000000}"/>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G9"/>
  <sheetViews>
    <sheetView zoomScaleNormal="100" workbookViewId="0">
      <pane ySplit="1" topLeftCell="A2" activePane="bottomLeft" state="frozen"/>
      <selection pane="bottomLeft"/>
    </sheetView>
  </sheetViews>
  <sheetFormatPr defaultColWidth="8.59765625" defaultRowHeight="14.25" x14ac:dyDescent="0.45"/>
  <cols>
    <col min="1" max="1" width="12" customWidth="1"/>
    <col min="2" max="2" width="18" customWidth="1"/>
    <col min="3" max="3" width="14" customWidth="1"/>
    <col min="4" max="4" width="8" customWidth="1"/>
    <col min="5" max="5" width="12" customWidth="1"/>
    <col min="6" max="6" width="15" customWidth="1"/>
    <col min="7" max="7" width="22" customWidth="1"/>
  </cols>
  <sheetData>
    <row r="1" spans="1:7" ht="27.75" customHeight="1" x14ac:dyDescent="0.45">
      <c r="A1" s="39" t="s">
        <v>2162</v>
      </c>
      <c r="B1" s="39" t="s">
        <v>2181</v>
      </c>
      <c r="C1" s="39" t="s">
        <v>1390</v>
      </c>
      <c r="D1" s="39" t="s">
        <v>2152</v>
      </c>
      <c r="E1" s="39" t="s">
        <v>824</v>
      </c>
      <c r="F1" s="39" t="s">
        <v>2182</v>
      </c>
      <c r="G1" s="39" t="s">
        <v>1234</v>
      </c>
    </row>
    <row r="2" spans="1:7" ht="15" customHeight="1" x14ac:dyDescent="0.45">
      <c r="A2" s="40" t="s">
        <v>1921</v>
      </c>
      <c r="B2" s="40" t="s">
        <v>2183</v>
      </c>
      <c r="C2" s="40" t="s">
        <v>1790</v>
      </c>
      <c r="D2" s="40" t="s">
        <v>2159</v>
      </c>
      <c r="E2" s="40">
        <v>95</v>
      </c>
      <c r="F2" s="40">
        <v>3.57</v>
      </c>
      <c r="G2" s="41" t="s">
        <v>2184</v>
      </c>
    </row>
    <row r="3" spans="1:7" ht="15" customHeight="1" x14ac:dyDescent="0.45">
      <c r="A3" s="42" t="s">
        <v>1921</v>
      </c>
      <c r="B3" s="42" t="s">
        <v>2183</v>
      </c>
      <c r="C3" s="42" t="s">
        <v>1790</v>
      </c>
      <c r="D3" s="42" t="s">
        <v>2161</v>
      </c>
      <c r="E3" s="42">
        <v>130</v>
      </c>
      <c r="F3" s="42">
        <v>4.18</v>
      </c>
      <c r="G3" s="43" t="s">
        <v>2184</v>
      </c>
    </row>
    <row r="4" spans="1:7" ht="15" customHeight="1" x14ac:dyDescent="0.45">
      <c r="A4" s="40" t="s">
        <v>1921</v>
      </c>
      <c r="B4" s="40" t="s">
        <v>2185</v>
      </c>
      <c r="C4" s="40" t="s">
        <v>207</v>
      </c>
      <c r="D4" s="40" t="s">
        <v>2159</v>
      </c>
      <c r="E4" s="40">
        <v>78</v>
      </c>
      <c r="F4" s="40">
        <v>3.4</v>
      </c>
      <c r="G4" s="41" t="s">
        <v>2184</v>
      </c>
    </row>
    <row r="5" spans="1:7" ht="15" customHeight="1" x14ac:dyDescent="0.45">
      <c r="A5" s="42" t="s">
        <v>1921</v>
      </c>
      <c r="B5" s="42" t="s">
        <v>2186</v>
      </c>
      <c r="C5" s="42" t="s">
        <v>1807</v>
      </c>
      <c r="D5" s="42" t="s">
        <v>2159</v>
      </c>
      <c r="E5" s="42">
        <v>120</v>
      </c>
      <c r="F5" s="42">
        <v>3.82</v>
      </c>
      <c r="G5" s="43" t="s">
        <v>2184</v>
      </c>
    </row>
    <row r="6" spans="1:7" ht="15" customHeight="1" x14ac:dyDescent="0.45">
      <c r="A6" s="40" t="s">
        <v>1921</v>
      </c>
      <c r="B6" s="40" t="s">
        <v>2186</v>
      </c>
      <c r="C6" s="40" t="s">
        <v>1807</v>
      </c>
      <c r="D6" s="40" t="s">
        <v>2161</v>
      </c>
      <c r="E6" s="40">
        <v>165</v>
      </c>
      <c r="F6" s="40">
        <v>4.53</v>
      </c>
      <c r="G6" s="41" t="s">
        <v>2184</v>
      </c>
    </row>
    <row r="7" spans="1:7" ht="15" customHeight="1" x14ac:dyDescent="0.45">
      <c r="A7" s="42" t="s">
        <v>1921</v>
      </c>
      <c r="B7" s="42" t="s">
        <v>2187</v>
      </c>
      <c r="C7" s="42" t="s">
        <v>211</v>
      </c>
      <c r="D7" s="42" t="s">
        <v>2159</v>
      </c>
      <c r="E7" s="42">
        <v>175</v>
      </c>
      <c r="F7" s="42">
        <v>4.37</v>
      </c>
      <c r="G7" s="43" t="s">
        <v>2184</v>
      </c>
    </row>
    <row r="8" spans="1:7" ht="15" customHeight="1" x14ac:dyDescent="0.45">
      <c r="A8" s="40" t="s">
        <v>1921</v>
      </c>
      <c r="B8" s="40" t="s">
        <v>2188</v>
      </c>
      <c r="C8" s="40" t="s">
        <v>2189</v>
      </c>
      <c r="D8" s="40" t="s">
        <v>2159</v>
      </c>
      <c r="E8" s="40">
        <v>70</v>
      </c>
      <c r="F8" s="40">
        <v>3.32</v>
      </c>
      <c r="G8" s="41" t="s">
        <v>2184</v>
      </c>
    </row>
    <row r="9" spans="1:7" ht="15" customHeight="1" x14ac:dyDescent="0.45">
      <c r="A9" s="42" t="s">
        <v>1921</v>
      </c>
      <c r="B9" s="42" t="s">
        <v>2190</v>
      </c>
      <c r="C9" s="42" t="s">
        <v>2189</v>
      </c>
      <c r="D9" s="42" t="s">
        <v>2159</v>
      </c>
      <c r="E9" s="42">
        <v>115</v>
      </c>
      <c r="F9" s="42">
        <v>3.77</v>
      </c>
      <c r="G9" s="43" t="s">
        <v>2184</v>
      </c>
    </row>
  </sheetData>
  <autoFilter ref="A1:G1" xr:uid="{00000000-0009-0000-0000-00002F000000}"/>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7"/>
  <sheetViews>
    <sheetView zoomScaleNormal="100" workbookViewId="0">
      <pane ySplit="1" topLeftCell="A2" activePane="bottomLeft" state="frozen"/>
      <selection pane="bottomLeft"/>
    </sheetView>
  </sheetViews>
  <sheetFormatPr defaultColWidth="8.59765625" defaultRowHeight="14.25" x14ac:dyDescent="0.45"/>
  <cols>
    <col min="1" max="1" width="11" customWidth="1"/>
    <col min="2" max="2" width="20" customWidth="1"/>
    <col min="3" max="3" width="16" customWidth="1"/>
    <col min="4" max="4" width="46" customWidth="1"/>
    <col min="5" max="5" width="44" customWidth="1"/>
    <col min="6" max="6" width="14" customWidth="1"/>
    <col min="7" max="7" width="34" customWidth="1"/>
    <col min="8" max="8" width="12" customWidth="1"/>
    <col min="9" max="9" width="15" customWidth="1"/>
    <col min="10" max="10" width="28" customWidth="1"/>
  </cols>
  <sheetData>
    <row r="1" spans="1:10" ht="27.75" customHeight="1" x14ac:dyDescent="0.45">
      <c r="A1" s="39" t="s">
        <v>2191</v>
      </c>
      <c r="B1" s="39" t="s">
        <v>2192</v>
      </c>
      <c r="C1" s="39" t="s">
        <v>1390</v>
      </c>
      <c r="D1" s="39" t="s">
        <v>2193</v>
      </c>
      <c r="E1" s="39" t="s">
        <v>2194</v>
      </c>
      <c r="F1" s="39" t="s">
        <v>2195</v>
      </c>
      <c r="G1" s="39" t="s">
        <v>2196</v>
      </c>
      <c r="H1" s="39" t="s">
        <v>2197</v>
      </c>
      <c r="I1" s="39" t="s">
        <v>2198</v>
      </c>
      <c r="J1" s="39" t="s">
        <v>2199</v>
      </c>
    </row>
    <row r="2" spans="1:10" ht="51.75" customHeight="1" x14ac:dyDescent="0.45">
      <c r="A2" s="40" t="s">
        <v>2200</v>
      </c>
      <c r="B2" s="40" t="s">
        <v>2201</v>
      </c>
      <c r="C2" s="40" t="s">
        <v>2202</v>
      </c>
      <c r="D2" s="41" t="s">
        <v>2203</v>
      </c>
      <c r="E2" s="41" t="s">
        <v>2204</v>
      </c>
      <c r="F2" s="40" t="s">
        <v>909</v>
      </c>
      <c r="G2" s="41" t="s">
        <v>2205</v>
      </c>
      <c r="H2" s="40" t="s">
        <v>2206</v>
      </c>
      <c r="I2" s="40" t="s">
        <v>2207</v>
      </c>
      <c r="J2" s="41" t="s">
        <v>2208</v>
      </c>
    </row>
    <row r="3" spans="1:10" ht="51.75" customHeight="1" x14ac:dyDescent="0.45">
      <c r="A3" s="42" t="s">
        <v>2209</v>
      </c>
      <c r="B3" s="42" t="s">
        <v>1790</v>
      </c>
      <c r="C3" s="42" t="s">
        <v>1790</v>
      </c>
      <c r="D3" s="43" t="s">
        <v>2210</v>
      </c>
      <c r="E3" s="43" t="s">
        <v>2211</v>
      </c>
      <c r="F3" s="42" t="s">
        <v>1849</v>
      </c>
      <c r="G3" s="43" t="s">
        <v>2212</v>
      </c>
      <c r="H3" s="42" t="s">
        <v>2206</v>
      </c>
      <c r="I3" s="42" t="s">
        <v>2207</v>
      </c>
      <c r="J3" s="43" t="s">
        <v>2213</v>
      </c>
    </row>
    <row r="4" spans="1:10" ht="51.75" customHeight="1" x14ac:dyDescent="0.45">
      <c r="A4" s="40" t="s">
        <v>2214</v>
      </c>
      <c r="B4" s="40" t="s">
        <v>339</v>
      </c>
      <c r="C4" s="40" t="s">
        <v>2202</v>
      </c>
      <c r="D4" s="41" t="s">
        <v>2215</v>
      </c>
      <c r="E4" s="41" t="s">
        <v>2216</v>
      </c>
      <c r="F4" s="40" t="s">
        <v>2217</v>
      </c>
      <c r="G4" s="41" t="s">
        <v>2212</v>
      </c>
      <c r="H4" s="40" t="s">
        <v>2206</v>
      </c>
      <c r="I4" s="40" t="s">
        <v>2207</v>
      </c>
      <c r="J4" s="41" t="s">
        <v>2218</v>
      </c>
    </row>
    <row r="5" spans="1:10" ht="51.75" customHeight="1" x14ac:dyDescent="0.45">
      <c r="A5" s="42" t="s">
        <v>2219</v>
      </c>
      <c r="B5" s="42" t="s">
        <v>439</v>
      </c>
      <c r="C5" s="42" t="s">
        <v>2202</v>
      </c>
      <c r="D5" s="43" t="s">
        <v>2220</v>
      </c>
      <c r="E5" s="43" t="s">
        <v>2221</v>
      </c>
      <c r="F5" s="42" t="s">
        <v>2222</v>
      </c>
      <c r="G5" s="43" t="s">
        <v>2212</v>
      </c>
      <c r="H5" s="42" t="s">
        <v>2206</v>
      </c>
      <c r="I5" s="42" t="s">
        <v>2207</v>
      </c>
      <c r="J5" s="43" t="s">
        <v>2223</v>
      </c>
    </row>
    <row r="6" spans="1:10" ht="51.75" customHeight="1" x14ac:dyDescent="0.45">
      <c r="A6" s="40" t="s">
        <v>2224</v>
      </c>
      <c r="B6" s="40" t="s">
        <v>2225</v>
      </c>
      <c r="C6" s="40" t="s">
        <v>2226</v>
      </c>
      <c r="D6" s="41" t="s">
        <v>2227</v>
      </c>
      <c r="E6" s="41" t="s">
        <v>2228</v>
      </c>
      <c r="F6" s="40" t="s">
        <v>1853</v>
      </c>
      <c r="G6" s="41" t="s">
        <v>2212</v>
      </c>
      <c r="H6" s="40" t="s">
        <v>2206</v>
      </c>
      <c r="I6" s="40" t="s">
        <v>2207</v>
      </c>
      <c r="J6" s="41" t="s">
        <v>2229</v>
      </c>
    </row>
    <row r="7" spans="1:10" ht="51.75" customHeight="1" x14ac:dyDescent="0.45">
      <c r="A7" s="42" t="s">
        <v>2230</v>
      </c>
      <c r="B7" s="42" t="s">
        <v>2231</v>
      </c>
      <c r="C7" s="42" t="s">
        <v>2232</v>
      </c>
      <c r="D7" s="43" t="s">
        <v>2233</v>
      </c>
      <c r="E7" s="43" t="s">
        <v>2234</v>
      </c>
      <c r="F7" s="42" t="s">
        <v>2235</v>
      </c>
      <c r="G7" s="43" t="s">
        <v>2212</v>
      </c>
      <c r="H7" s="42" t="s">
        <v>2206</v>
      </c>
      <c r="I7" s="42" t="s">
        <v>2207</v>
      </c>
      <c r="J7" s="43" t="s">
        <v>2236</v>
      </c>
    </row>
  </sheetData>
  <autoFilter ref="A1:J1" xr:uid="{00000000-0009-0000-0000-000030000000}"/>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11"/>
  <sheetViews>
    <sheetView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6" customWidth="1"/>
    <col min="3" max="3" width="24" customWidth="1"/>
    <col min="4" max="4" width="20" customWidth="1"/>
    <col min="5" max="5" width="15" customWidth="1"/>
    <col min="6" max="6" width="40" customWidth="1"/>
    <col min="7" max="7" width="14" customWidth="1"/>
    <col min="8" max="8" width="12" customWidth="1"/>
    <col min="9" max="9" width="40" customWidth="1"/>
  </cols>
  <sheetData>
    <row r="1" spans="1:9" ht="27.75" customHeight="1" x14ac:dyDescent="0.45">
      <c r="A1" s="39" t="s">
        <v>2237</v>
      </c>
      <c r="B1" s="39" t="s">
        <v>2238</v>
      </c>
      <c r="C1" s="39" t="s">
        <v>2239</v>
      </c>
      <c r="D1" s="39" t="s">
        <v>2240</v>
      </c>
      <c r="E1" s="39" t="s">
        <v>2195</v>
      </c>
      <c r="F1" s="39" t="s">
        <v>2196</v>
      </c>
      <c r="G1" s="39" t="s">
        <v>2197</v>
      </c>
      <c r="H1" s="39" t="s">
        <v>1188</v>
      </c>
      <c r="I1" s="39" t="s">
        <v>291</v>
      </c>
    </row>
    <row r="2" spans="1:9" ht="39.75" customHeight="1" x14ac:dyDescent="0.45">
      <c r="A2" s="40" t="s">
        <v>2241</v>
      </c>
      <c r="B2" s="40" t="s">
        <v>43</v>
      </c>
      <c r="C2" s="40" t="s">
        <v>2242</v>
      </c>
      <c r="D2" s="40" t="s">
        <v>2243</v>
      </c>
      <c r="E2" s="40" t="s">
        <v>2244</v>
      </c>
      <c r="F2" s="41" t="s">
        <v>2245</v>
      </c>
      <c r="G2" s="40" t="s">
        <v>2246</v>
      </c>
      <c r="H2" s="40">
        <v>90</v>
      </c>
      <c r="I2" s="41" t="s">
        <v>2247</v>
      </c>
    </row>
    <row r="3" spans="1:9" ht="39.75" customHeight="1" x14ac:dyDescent="0.45">
      <c r="A3" s="42" t="s">
        <v>2248</v>
      </c>
      <c r="B3" s="42" t="s">
        <v>119</v>
      </c>
      <c r="C3" s="42" t="s">
        <v>2249</v>
      </c>
      <c r="D3" s="42" t="s">
        <v>2250</v>
      </c>
      <c r="E3" s="42" t="s">
        <v>2251</v>
      </c>
      <c r="F3" s="43" t="s">
        <v>2252</v>
      </c>
      <c r="G3" s="42" t="s">
        <v>2206</v>
      </c>
      <c r="H3" s="42">
        <v>70</v>
      </c>
      <c r="I3" s="43" t="s">
        <v>2253</v>
      </c>
    </row>
    <row r="4" spans="1:9" ht="39.75" customHeight="1" x14ac:dyDescent="0.45">
      <c r="A4" s="40" t="s">
        <v>2254</v>
      </c>
      <c r="B4" s="40" t="s">
        <v>113</v>
      </c>
      <c r="C4" s="40" t="s">
        <v>2255</v>
      </c>
      <c r="D4" s="40" t="s">
        <v>2256</v>
      </c>
      <c r="E4" s="40" t="s">
        <v>424</v>
      </c>
      <c r="F4" s="41" t="s">
        <v>2257</v>
      </c>
      <c r="G4" s="40" t="s">
        <v>2258</v>
      </c>
      <c r="H4" s="40">
        <v>95</v>
      </c>
      <c r="I4" s="41" t="s">
        <v>2259</v>
      </c>
    </row>
    <row r="5" spans="1:9" ht="39.75" customHeight="1" x14ac:dyDescent="0.45">
      <c r="A5" s="42" t="s">
        <v>2260</v>
      </c>
      <c r="B5" s="42" t="s">
        <v>115</v>
      </c>
      <c r="C5" s="42" t="s">
        <v>2261</v>
      </c>
      <c r="D5" s="42" t="s">
        <v>2256</v>
      </c>
      <c r="E5" s="42" t="s">
        <v>424</v>
      </c>
      <c r="F5" s="43" t="s">
        <v>2262</v>
      </c>
      <c r="G5" s="42" t="s">
        <v>2258</v>
      </c>
      <c r="H5" s="42">
        <v>95</v>
      </c>
      <c r="I5" s="43" t="s">
        <v>2263</v>
      </c>
    </row>
    <row r="6" spans="1:9" ht="39.75" customHeight="1" x14ac:dyDescent="0.45">
      <c r="A6" s="40" t="s">
        <v>2264</v>
      </c>
      <c r="B6" s="40" t="s">
        <v>97</v>
      </c>
      <c r="C6" s="40" t="s">
        <v>2265</v>
      </c>
      <c r="D6" s="40" t="s">
        <v>2266</v>
      </c>
      <c r="E6" s="40" t="s">
        <v>2267</v>
      </c>
      <c r="F6" s="41" t="s">
        <v>2268</v>
      </c>
      <c r="G6" s="40" t="s">
        <v>2206</v>
      </c>
      <c r="H6" s="40">
        <v>60</v>
      </c>
      <c r="I6" s="41" t="s">
        <v>2269</v>
      </c>
    </row>
    <row r="7" spans="1:9" ht="39.75" customHeight="1" x14ac:dyDescent="0.45">
      <c r="A7" s="42" t="s">
        <v>2270</v>
      </c>
      <c r="B7" s="42" t="s">
        <v>101</v>
      </c>
      <c r="C7" s="42" t="s">
        <v>2271</v>
      </c>
      <c r="D7" s="42" t="s">
        <v>2266</v>
      </c>
      <c r="E7" s="42" t="s">
        <v>424</v>
      </c>
      <c r="F7" s="43" t="s">
        <v>2272</v>
      </c>
      <c r="G7" s="42" t="s">
        <v>2206</v>
      </c>
      <c r="H7" s="42">
        <v>85</v>
      </c>
      <c r="I7" s="43" t="s">
        <v>2273</v>
      </c>
    </row>
    <row r="8" spans="1:9" ht="39.75" customHeight="1" x14ac:dyDescent="0.45">
      <c r="A8" s="40" t="s">
        <v>2274</v>
      </c>
      <c r="B8" s="40" t="s">
        <v>45</v>
      </c>
      <c r="C8" s="40" t="s">
        <v>2275</v>
      </c>
      <c r="D8" s="40" t="s">
        <v>2276</v>
      </c>
      <c r="E8" s="40" t="s">
        <v>424</v>
      </c>
      <c r="F8" s="41" t="s">
        <v>2277</v>
      </c>
      <c r="G8" s="40" t="s">
        <v>2258</v>
      </c>
      <c r="H8" s="40">
        <v>75</v>
      </c>
      <c r="I8" s="41" t="s">
        <v>2278</v>
      </c>
    </row>
    <row r="9" spans="1:9" ht="39.75" customHeight="1" x14ac:dyDescent="0.45">
      <c r="A9" s="42" t="s">
        <v>2279</v>
      </c>
      <c r="B9" s="42" t="s">
        <v>47</v>
      </c>
      <c r="C9" s="42" t="s">
        <v>2280</v>
      </c>
      <c r="D9" s="42" t="s">
        <v>2256</v>
      </c>
      <c r="E9" s="42" t="s">
        <v>424</v>
      </c>
      <c r="F9" s="43" t="s">
        <v>2281</v>
      </c>
      <c r="G9" s="42" t="s">
        <v>2258</v>
      </c>
      <c r="H9" s="42">
        <v>90</v>
      </c>
      <c r="I9" s="43" t="s">
        <v>2282</v>
      </c>
    </row>
    <row r="10" spans="1:9" ht="39.75" customHeight="1" x14ac:dyDescent="0.45">
      <c r="A10" s="40" t="s">
        <v>2283</v>
      </c>
      <c r="B10" s="40" t="s">
        <v>17</v>
      </c>
      <c r="C10" s="40" t="s">
        <v>2284</v>
      </c>
      <c r="D10" s="40" t="s">
        <v>2266</v>
      </c>
      <c r="E10" s="40" t="s">
        <v>424</v>
      </c>
      <c r="F10" s="41" t="s">
        <v>2285</v>
      </c>
      <c r="G10" s="40" t="s">
        <v>2206</v>
      </c>
      <c r="H10" s="40">
        <v>80</v>
      </c>
      <c r="I10" s="41" t="s">
        <v>2286</v>
      </c>
    </row>
    <row r="11" spans="1:9" ht="39.75" customHeight="1" x14ac:dyDescent="0.45">
      <c r="A11" s="42" t="s">
        <v>2287</v>
      </c>
      <c r="B11" s="42" t="s">
        <v>111</v>
      </c>
      <c r="C11" s="42" t="s">
        <v>2288</v>
      </c>
      <c r="D11" s="42" t="s">
        <v>2289</v>
      </c>
      <c r="E11" s="42" t="s">
        <v>424</v>
      </c>
      <c r="F11" s="43" t="s">
        <v>2290</v>
      </c>
      <c r="G11" s="42" t="s">
        <v>2291</v>
      </c>
      <c r="H11" s="42">
        <v>92</v>
      </c>
      <c r="I11" s="43" t="s">
        <v>2292</v>
      </c>
    </row>
  </sheetData>
  <autoFilter ref="A1:I1" xr:uid="{00000000-0009-0000-0000-000031000000}"/>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6"/>
  <sheetViews>
    <sheetView zoomScaleNormal="100" workbookViewId="0">
      <pane ySplit="1" topLeftCell="A2" activePane="bottomLeft" state="frozen"/>
      <selection pane="bottomLeft"/>
    </sheetView>
  </sheetViews>
  <sheetFormatPr defaultColWidth="8.59765625" defaultRowHeight="14.25" x14ac:dyDescent="0.45"/>
  <cols>
    <col min="1" max="1" width="9" customWidth="1"/>
    <col min="2" max="2" width="22" customWidth="1"/>
    <col min="3" max="3" width="12" customWidth="1"/>
    <col min="4" max="4" width="30" customWidth="1"/>
    <col min="5" max="6" width="14" customWidth="1"/>
    <col min="7" max="8" width="30" customWidth="1"/>
    <col min="9" max="9" width="34" customWidth="1"/>
  </cols>
  <sheetData>
    <row r="1" spans="1:9" ht="27.75" customHeight="1" x14ac:dyDescent="0.45">
      <c r="A1" s="39" t="s">
        <v>131</v>
      </c>
      <c r="B1" s="39" t="s">
        <v>132</v>
      </c>
      <c r="C1" s="39" t="s">
        <v>2293</v>
      </c>
      <c r="D1" s="39" t="s">
        <v>2294</v>
      </c>
      <c r="E1" s="39" t="s">
        <v>2295</v>
      </c>
      <c r="F1" s="39" t="s">
        <v>2296</v>
      </c>
      <c r="G1" s="39" t="s">
        <v>2297</v>
      </c>
      <c r="H1" s="39" t="s">
        <v>2298</v>
      </c>
      <c r="I1" s="39" t="s">
        <v>291</v>
      </c>
    </row>
    <row r="2" spans="1:9" ht="39.75" customHeight="1" x14ac:dyDescent="0.45">
      <c r="A2" s="40" t="s">
        <v>197</v>
      </c>
      <c r="B2" s="40" t="s">
        <v>198</v>
      </c>
      <c r="C2" s="40" t="s">
        <v>302</v>
      </c>
      <c r="D2" s="41" t="s">
        <v>2299</v>
      </c>
      <c r="E2" s="40" t="s">
        <v>2300</v>
      </c>
      <c r="F2" s="40" t="s">
        <v>229</v>
      </c>
      <c r="G2" s="41" t="s">
        <v>2301</v>
      </c>
      <c r="H2" s="41" t="s">
        <v>2302</v>
      </c>
      <c r="I2" s="41" t="s">
        <v>2303</v>
      </c>
    </row>
    <row r="3" spans="1:9" ht="39.75" customHeight="1" x14ac:dyDescent="0.45">
      <c r="A3" s="42" t="s">
        <v>204</v>
      </c>
      <c r="B3" s="42" t="s">
        <v>153</v>
      </c>
      <c r="C3" s="42" t="s">
        <v>302</v>
      </c>
      <c r="D3" s="43" t="s">
        <v>231</v>
      </c>
      <c r="E3" s="42" t="s">
        <v>2300</v>
      </c>
      <c r="F3" s="42" t="s">
        <v>229</v>
      </c>
      <c r="G3" s="43" t="s">
        <v>2304</v>
      </c>
      <c r="H3" s="43" t="s">
        <v>2302</v>
      </c>
      <c r="I3" s="43" t="s">
        <v>2305</v>
      </c>
    </row>
    <row r="4" spans="1:9" ht="39.75" customHeight="1" x14ac:dyDescent="0.45">
      <c r="A4" s="40" t="s">
        <v>205</v>
      </c>
      <c r="B4" s="40" t="s">
        <v>206</v>
      </c>
      <c r="C4" s="40" t="s">
        <v>302</v>
      </c>
      <c r="D4" s="41" t="s">
        <v>231</v>
      </c>
      <c r="E4" s="40" t="s">
        <v>2300</v>
      </c>
      <c r="F4" s="40" t="s">
        <v>229</v>
      </c>
      <c r="G4" s="41" t="s">
        <v>2306</v>
      </c>
      <c r="H4" s="41" t="s">
        <v>2302</v>
      </c>
      <c r="I4" s="41" t="s">
        <v>1881</v>
      </c>
    </row>
    <row r="5" spans="1:9" ht="39.75" customHeight="1" x14ac:dyDescent="0.45">
      <c r="A5" s="42" t="s">
        <v>209</v>
      </c>
      <c r="B5" s="42" t="s">
        <v>210</v>
      </c>
      <c r="C5" s="42" t="s">
        <v>302</v>
      </c>
      <c r="D5" s="43" t="s">
        <v>231</v>
      </c>
      <c r="E5" s="42" t="s">
        <v>2300</v>
      </c>
      <c r="F5" s="42" t="s">
        <v>229</v>
      </c>
      <c r="G5" s="43" t="s">
        <v>2307</v>
      </c>
      <c r="H5" s="43" t="s">
        <v>2302</v>
      </c>
      <c r="I5" s="43" t="s">
        <v>2308</v>
      </c>
    </row>
    <row r="6" spans="1:9" ht="39.75" customHeight="1" x14ac:dyDescent="0.45">
      <c r="A6" s="40" t="s">
        <v>213</v>
      </c>
      <c r="B6" s="40" t="s">
        <v>214</v>
      </c>
      <c r="C6" s="40" t="s">
        <v>302</v>
      </c>
      <c r="D6" s="41" t="s">
        <v>2309</v>
      </c>
      <c r="E6" s="40" t="s">
        <v>2094</v>
      </c>
      <c r="F6" s="40" t="s">
        <v>2310</v>
      </c>
      <c r="G6" s="41" t="s">
        <v>2311</v>
      </c>
      <c r="H6" s="41" t="s">
        <v>2312</v>
      </c>
      <c r="I6" s="41" t="s">
        <v>2313</v>
      </c>
    </row>
  </sheetData>
  <autoFilter ref="A1:I1" xr:uid="{00000000-0009-0000-0000-000032000000}"/>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1"/>
  <sheetViews>
    <sheetView zoomScaleNormal="100" workbookViewId="0">
      <pane ySplit="1" topLeftCell="A2" activePane="bottomLeft" state="frozen"/>
      <selection pane="bottomLeft"/>
    </sheetView>
  </sheetViews>
  <sheetFormatPr defaultColWidth="8.59765625" defaultRowHeight="14.25" x14ac:dyDescent="0.45"/>
  <cols>
    <col min="1" max="1" width="10" customWidth="1"/>
    <col min="2" max="2" width="24" customWidth="1"/>
    <col min="3" max="3" width="30" customWidth="1"/>
    <col min="4" max="4" width="24" customWidth="1"/>
    <col min="5" max="5" width="26" customWidth="1"/>
    <col min="6" max="6" width="12" customWidth="1"/>
    <col min="7" max="7" width="20" customWidth="1"/>
    <col min="8" max="8" width="16" customWidth="1"/>
    <col min="9" max="9" width="13" customWidth="1"/>
    <col min="10" max="10" width="9" customWidth="1"/>
    <col min="11" max="11" width="34" customWidth="1"/>
  </cols>
  <sheetData>
    <row r="1" spans="1:11" ht="27.75" customHeight="1" x14ac:dyDescent="0.45">
      <c r="A1" s="39" t="s">
        <v>1182</v>
      </c>
      <c r="B1" s="39" t="s">
        <v>2314</v>
      </c>
      <c r="C1" s="39" t="s">
        <v>2315</v>
      </c>
      <c r="D1" s="39" t="s">
        <v>2316</v>
      </c>
      <c r="E1" s="39" t="s">
        <v>2317</v>
      </c>
      <c r="F1" s="39" t="s">
        <v>2318</v>
      </c>
      <c r="G1" s="39" t="s">
        <v>2319</v>
      </c>
      <c r="H1" s="39" t="s">
        <v>294</v>
      </c>
      <c r="I1" s="39" t="s">
        <v>2320</v>
      </c>
      <c r="J1" s="39" t="s">
        <v>2321</v>
      </c>
      <c r="K1" s="39" t="s">
        <v>2322</v>
      </c>
    </row>
    <row r="2" spans="1:11" ht="33.75" customHeight="1" x14ac:dyDescent="0.45">
      <c r="A2" s="40" t="s">
        <v>2323</v>
      </c>
      <c r="B2" s="40" t="s">
        <v>2324</v>
      </c>
      <c r="C2" s="41" t="s">
        <v>2325</v>
      </c>
      <c r="D2" s="41" t="s">
        <v>2326</v>
      </c>
      <c r="E2" s="41" t="s">
        <v>1830</v>
      </c>
      <c r="F2" s="40" t="s">
        <v>2327</v>
      </c>
      <c r="G2" s="40" t="s">
        <v>2328</v>
      </c>
      <c r="H2" s="40" t="s">
        <v>2329</v>
      </c>
      <c r="I2" s="40" t="s">
        <v>2330</v>
      </c>
      <c r="J2" s="40" t="s">
        <v>2331</v>
      </c>
      <c r="K2" s="41" t="s">
        <v>2332</v>
      </c>
    </row>
    <row r="3" spans="1:11" ht="33.75" customHeight="1" x14ac:dyDescent="0.45">
      <c r="A3" s="42" t="s">
        <v>2333</v>
      </c>
      <c r="B3" s="42" t="s">
        <v>2334</v>
      </c>
      <c r="C3" s="43" t="s">
        <v>2335</v>
      </c>
      <c r="D3" s="43" t="s">
        <v>2336</v>
      </c>
      <c r="E3" s="43" t="s">
        <v>1830</v>
      </c>
      <c r="F3" s="42" t="s">
        <v>1830</v>
      </c>
      <c r="G3" s="42" t="s">
        <v>2337</v>
      </c>
      <c r="H3" s="42" t="s">
        <v>2329</v>
      </c>
      <c r="I3" s="42" t="s">
        <v>2330</v>
      </c>
      <c r="J3" s="42" t="s">
        <v>2331</v>
      </c>
      <c r="K3" s="43" t="s">
        <v>2338</v>
      </c>
    </row>
    <row r="4" spans="1:11" ht="33.75" customHeight="1" x14ac:dyDescent="0.45">
      <c r="A4" s="40" t="s">
        <v>2339</v>
      </c>
      <c r="B4" s="40" t="s">
        <v>2340</v>
      </c>
      <c r="C4" s="41" t="s">
        <v>1402</v>
      </c>
      <c r="D4" s="41" t="s">
        <v>2341</v>
      </c>
      <c r="E4" s="41" t="s">
        <v>1830</v>
      </c>
      <c r="F4" s="40" t="s">
        <v>1830</v>
      </c>
      <c r="G4" s="40" t="s">
        <v>2342</v>
      </c>
      <c r="H4" s="40" t="s">
        <v>2024</v>
      </c>
      <c r="I4" s="40" t="s">
        <v>2330</v>
      </c>
      <c r="J4" s="40" t="s">
        <v>2331</v>
      </c>
      <c r="K4" s="41" t="s">
        <v>2343</v>
      </c>
    </row>
    <row r="5" spans="1:11" ht="33.75" customHeight="1" x14ac:dyDescent="0.45">
      <c r="A5" s="42" t="s">
        <v>2344</v>
      </c>
      <c r="B5" s="42" t="s">
        <v>2345</v>
      </c>
      <c r="C5" s="43" t="s">
        <v>2346</v>
      </c>
      <c r="D5" s="43" t="s">
        <v>2347</v>
      </c>
      <c r="E5" s="43" t="s">
        <v>1830</v>
      </c>
      <c r="F5" s="42" t="s">
        <v>2327</v>
      </c>
      <c r="G5" s="42" t="s">
        <v>2337</v>
      </c>
      <c r="H5" s="42" t="s">
        <v>2348</v>
      </c>
      <c r="I5" s="42" t="s">
        <v>2330</v>
      </c>
      <c r="J5" s="42" t="s">
        <v>2349</v>
      </c>
      <c r="K5" s="43" t="s">
        <v>2350</v>
      </c>
    </row>
    <row r="6" spans="1:11" ht="33.75" customHeight="1" x14ac:dyDescent="0.45">
      <c r="A6" s="40" t="s">
        <v>2351</v>
      </c>
      <c r="B6" s="40" t="s">
        <v>2352</v>
      </c>
      <c r="C6" s="41" t="s">
        <v>2353</v>
      </c>
      <c r="D6" s="41" t="s">
        <v>2354</v>
      </c>
      <c r="E6" s="41" t="s">
        <v>1830</v>
      </c>
      <c r="F6" s="40" t="s">
        <v>149</v>
      </c>
      <c r="G6" s="40" t="s">
        <v>2337</v>
      </c>
      <c r="H6" s="40" t="s">
        <v>2348</v>
      </c>
      <c r="I6" s="40" t="s">
        <v>2330</v>
      </c>
      <c r="J6" s="40" t="s">
        <v>2331</v>
      </c>
      <c r="K6" s="41" t="s">
        <v>2355</v>
      </c>
    </row>
    <row r="7" spans="1:11" ht="33.75" customHeight="1" x14ac:dyDescent="0.45">
      <c r="A7" s="42" t="s">
        <v>2356</v>
      </c>
      <c r="B7" s="42" t="s">
        <v>2357</v>
      </c>
      <c r="C7" s="43" t="s">
        <v>2358</v>
      </c>
      <c r="D7" s="43" t="s">
        <v>2359</v>
      </c>
      <c r="E7" s="43" t="s">
        <v>1830</v>
      </c>
      <c r="F7" s="42" t="s">
        <v>1830</v>
      </c>
      <c r="G7" s="42" t="s">
        <v>2342</v>
      </c>
      <c r="H7" s="42" t="s">
        <v>2024</v>
      </c>
      <c r="I7" s="42" t="s">
        <v>2330</v>
      </c>
      <c r="J7" s="42" t="s">
        <v>2331</v>
      </c>
      <c r="K7" s="43" t="s">
        <v>2360</v>
      </c>
    </row>
    <row r="8" spans="1:11" ht="33.75" customHeight="1" x14ac:dyDescent="0.45">
      <c r="A8" s="40" t="s">
        <v>2361</v>
      </c>
      <c r="B8" s="40" t="s">
        <v>2362</v>
      </c>
      <c r="C8" s="41" t="s">
        <v>2363</v>
      </c>
      <c r="D8" s="41" t="s">
        <v>2364</v>
      </c>
      <c r="E8" s="41" t="s">
        <v>1830</v>
      </c>
      <c r="F8" s="40" t="s">
        <v>149</v>
      </c>
      <c r="G8" s="40" t="s">
        <v>2337</v>
      </c>
      <c r="H8" s="40" t="s">
        <v>2024</v>
      </c>
      <c r="I8" s="40" t="s">
        <v>2330</v>
      </c>
      <c r="J8" s="40" t="s">
        <v>2331</v>
      </c>
      <c r="K8" s="41" t="s">
        <v>2365</v>
      </c>
    </row>
    <row r="9" spans="1:11" ht="33.75" customHeight="1" x14ac:dyDescent="0.45">
      <c r="A9" s="42" t="s">
        <v>2366</v>
      </c>
      <c r="B9" s="42" t="s">
        <v>2367</v>
      </c>
      <c r="C9" s="43" t="s">
        <v>2368</v>
      </c>
      <c r="D9" s="43" t="s">
        <v>2369</v>
      </c>
      <c r="E9" s="43" t="s">
        <v>2370</v>
      </c>
      <c r="F9" s="42" t="s">
        <v>1830</v>
      </c>
      <c r="G9" s="42" t="s">
        <v>2337</v>
      </c>
      <c r="H9" s="42" t="s">
        <v>2036</v>
      </c>
      <c r="I9" s="42" t="s">
        <v>2330</v>
      </c>
      <c r="J9" s="42" t="s">
        <v>2331</v>
      </c>
      <c r="K9" s="43" t="s">
        <v>2371</v>
      </c>
    </row>
    <row r="10" spans="1:11" ht="33.75" customHeight="1" x14ac:dyDescent="0.45">
      <c r="A10" s="40" t="s">
        <v>2372</v>
      </c>
      <c r="B10" s="40" t="s">
        <v>2373</v>
      </c>
      <c r="C10" s="41" t="s">
        <v>2374</v>
      </c>
      <c r="D10" s="41" t="s">
        <v>2359</v>
      </c>
      <c r="E10" s="41" t="s">
        <v>1830</v>
      </c>
      <c r="F10" s="40" t="s">
        <v>1830</v>
      </c>
      <c r="G10" s="40" t="s">
        <v>2375</v>
      </c>
      <c r="H10" s="40" t="s">
        <v>2376</v>
      </c>
      <c r="I10" s="40" t="s">
        <v>2330</v>
      </c>
      <c r="J10" s="40" t="s">
        <v>2331</v>
      </c>
      <c r="K10" s="41" t="s">
        <v>2377</v>
      </c>
    </row>
    <row r="11" spans="1:11" ht="33.75" customHeight="1" x14ac:dyDescent="0.45">
      <c r="A11" s="42" t="s">
        <v>2378</v>
      </c>
      <c r="B11" s="42" t="s">
        <v>2379</v>
      </c>
      <c r="C11" s="43" t="s">
        <v>2380</v>
      </c>
      <c r="D11" s="43" t="s">
        <v>2381</v>
      </c>
      <c r="E11" s="43" t="s">
        <v>1830</v>
      </c>
      <c r="F11" s="42" t="s">
        <v>1830</v>
      </c>
      <c r="G11" s="42" t="s">
        <v>2375</v>
      </c>
      <c r="H11" s="42" t="s">
        <v>2329</v>
      </c>
      <c r="I11" s="42" t="s">
        <v>2330</v>
      </c>
      <c r="J11" s="42" t="s">
        <v>2331</v>
      </c>
      <c r="K11" s="43" t="s">
        <v>2382</v>
      </c>
    </row>
  </sheetData>
  <autoFilter ref="A1:K1" xr:uid="{00000000-0009-0000-0000-000033000000}"/>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6"/>
  <sheetViews>
    <sheetView zoomScaleNormal="100" workbookViewId="0">
      <pane ySplit="1" topLeftCell="A2" activePane="bottomLeft" state="frozen"/>
      <selection pane="bottomLeft"/>
    </sheetView>
  </sheetViews>
  <sheetFormatPr defaultColWidth="8.59765625" defaultRowHeight="14.25" x14ac:dyDescent="0.45"/>
  <cols>
    <col min="1" max="1" width="11" customWidth="1"/>
    <col min="2" max="2" width="18" customWidth="1"/>
    <col min="3" max="3" width="9" customWidth="1"/>
    <col min="4" max="4" width="22" customWidth="1"/>
    <col min="5" max="5" width="44" customWidth="1"/>
    <col min="6" max="6" width="12" customWidth="1"/>
    <col min="7" max="7" width="44" customWidth="1"/>
  </cols>
  <sheetData>
    <row r="1" spans="1:7" ht="27.75" customHeight="1" x14ac:dyDescent="0.45">
      <c r="A1" s="39" t="s">
        <v>2383</v>
      </c>
      <c r="B1" s="39" t="s">
        <v>1390</v>
      </c>
      <c r="C1" s="39" t="s">
        <v>131</v>
      </c>
      <c r="D1" s="39" t="s">
        <v>132</v>
      </c>
      <c r="E1" s="39" t="s">
        <v>2384</v>
      </c>
      <c r="F1" s="39" t="s">
        <v>1393</v>
      </c>
      <c r="G1" s="39" t="s">
        <v>2385</v>
      </c>
    </row>
    <row r="2" spans="1:7" ht="43.5" customHeight="1" x14ac:dyDescent="0.45">
      <c r="A2" s="40" t="s">
        <v>2386</v>
      </c>
      <c r="B2" s="40" t="s">
        <v>200</v>
      </c>
      <c r="C2" s="40" t="s">
        <v>197</v>
      </c>
      <c r="D2" s="40" t="s">
        <v>198</v>
      </c>
      <c r="E2" s="41" t="s">
        <v>2387</v>
      </c>
      <c r="F2" s="40">
        <v>7</v>
      </c>
      <c r="G2" s="41" t="s">
        <v>2388</v>
      </c>
    </row>
    <row r="3" spans="1:7" ht="43.5" customHeight="1" x14ac:dyDescent="0.45">
      <c r="A3" s="42" t="s">
        <v>2389</v>
      </c>
      <c r="B3" s="42" t="s">
        <v>155</v>
      </c>
      <c r="C3" s="42" t="s">
        <v>204</v>
      </c>
      <c r="D3" s="42" t="s">
        <v>153</v>
      </c>
      <c r="E3" s="43" t="s">
        <v>2390</v>
      </c>
      <c r="F3" s="42">
        <v>4</v>
      </c>
      <c r="G3" s="43" t="s">
        <v>2391</v>
      </c>
    </row>
    <row r="4" spans="1:7" ht="43.5" customHeight="1" x14ac:dyDescent="0.45">
      <c r="A4" s="40" t="s">
        <v>2392</v>
      </c>
      <c r="B4" s="40" t="s">
        <v>207</v>
      </c>
      <c r="C4" s="40" t="s">
        <v>205</v>
      </c>
      <c r="D4" s="40" t="s">
        <v>206</v>
      </c>
      <c r="E4" s="41" t="s">
        <v>2393</v>
      </c>
      <c r="F4" s="40">
        <v>5</v>
      </c>
      <c r="G4" s="41" t="s">
        <v>2394</v>
      </c>
    </row>
    <row r="5" spans="1:7" ht="43.5" customHeight="1" x14ac:dyDescent="0.45">
      <c r="A5" s="42" t="s">
        <v>2395</v>
      </c>
      <c r="B5" s="42" t="s">
        <v>211</v>
      </c>
      <c r="C5" s="42" t="s">
        <v>209</v>
      </c>
      <c r="D5" s="42" t="s">
        <v>210</v>
      </c>
      <c r="E5" s="43" t="s">
        <v>2396</v>
      </c>
      <c r="F5" s="42">
        <v>4</v>
      </c>
      <c r="G5" s="43" t="s">
        <v>2397</v>
      </c>
    </row>
    <row r="6" spans="1:7" ht="43.5" customHeight="1" x14ac:dyDescent="0.45">
      <c r="A6" s="40" t="s">
        <v>2398</v>
      </c>
      <c r="B6" s="40" t="s">
        <v>1412</v>
      </c>
      <c r="C6" s="40" t="s">
        <v>213</v>
      </c>
      <c r="D6" s="40" t="s">
        <v>214</v>
      </c>
      <c r="E6" s="41" t="s">
        <v>2399</v>
      </c>
      <c r="F6" s="40">
        <v>5</v>
      </c>
      <c r="G6" s="41" t="s">
        <v>2400</v>
      </c>
    </row>
  </sheetData>
  <autoFilter ref="A1:G1" xr:uid="{00000000-0009-0000-0000-000034000000}"/>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28"/>
  <sheetViews>
    <sheetView zoomScale="90" zoomScaleNormal="90" workbookViewId="0">
      <pane xSplit="1" ySplit="1" topLeftCell="B2" activePane="bottomRight" state="frozen"/>
      <selection pane="topRight" activeCell="B1" sqref="B1"/>
      <selection pane="bottomLeft" activeCell="A2" sqref="A2"/>
      <selection pane="bottomRight"/>
    </sheetView>
  </sheetViews>
  <sheetFormatPr defaultColWidth="8.59765625" defaultRowHeight="14.25" x14ac:dyDescent="0.45"/>
  <cols>
    <col min="1" max="1" width="26" customWidth="1"/>
    <col min="2" max="6" width="40" customWidth="1"/>
  </cols>
  <sheetData>
    <row r="1" spans="1:6" ht="30" customHeight="1" x14ac:dyDescent="0.45">
      <c r="A1" s="44" t="s">
        <v>2401</v>
      </c>
      <c r="B1" s="44" t="s">
        <v>198</v>
      </c>
      <c r="C1" s="44" t="s">
        <v>153</v>
      </c>
      <c r="D1" s="44" t="s">
        <v>206</v>
      </c>
      <c r="E1" s="44" t="s">
        <v>210</v>
      </c>
      <c r="F1" s="44" t="s">
        <v>214</v>
      </c>
    </row>
    <row r="2" spans="1:6" ht="18" customHeight="1" x14ac:dyDescent="0.45">
      <c r="A2" s="49" t="s">
        <v>2402</v>
      </c>
      <c r="B2" s="49"/>
      <c r="C2" s="49"/>
      <c r="D2" s="49"/>
      <c r="E2" s="49"/>
      <c r="F2" s="49"/>
    </row>
    <row r="3" spans="1:6" ht="15" customHeight="1" x14ac:dyDescent="0.45">
      <c r="A3" s="45" t="s">
        <v>2403</v>
      </c>
      <c r="B3" s="43" t="s">
        <v>2098</v>
      </c>
      <c r="C3" s="43" t="s">
        <v>2103</v>
      </c>
      <c r="D3" s="43" t="s">
        <v>2107</v>
      </c>
      <c r="E3" s="43" t="s">
        <v>2110</v>
      </c>
      <c r="F3" s="43" t="s">
        <v>2113</v>
      </c>
    </row>
    <row r="4" spans="1:6" ht="15" customHeight="1" x14ac:dyDescent="0.45">
      <c r="A4" s="45" t="s">
        <v>2404</v>
      </c>
      <c r="B4" s="43" t="s">
        <v>198</v>
      </c>
      <c r="C4" s="43" t="s">
        <v>153</v>
      </c>
      <c r="D4" s="43" t="s">
        <v>206</v>
      </c>
      <c r="E4" s="43" t="s">
        <v>210</v>
      </c>
      <c r="F4" s="43" t="s">
        <v>214</v>
      </c>
    </row>
    <row r="5" spans="1:6" ht="15" customHeight="1" x14ac:dyDescent="0.45">
      <c r="A5" s="45" t="s">
        <v>2405</v>
      </c>
      <c r="B5" s="43" t="s">
        <v>2406</v>
      </c>
      <c r="C5" s="43" t="s">
        <v>2407</v>
      </c>
      <c r="D5" s="43" t="s">
        <v>2408</v>
      </c>
      <c r="E5" s="43" t="s">
        <v>2409</v>
      </c>
      <c r="F5" s="43" t="s">
        <v>2410</v>
      </c>
    </row>
    <row r="6" spans="1:6" ht="18" customHeight="1" x14ac:dyDescent="0.45">
      <c r="A6" s="49" t="s">
        <v>2411</v>
      </c>
      <c r="B6" s="49"/>
      <c r="C6" s="49"/>
      <c r="D6" s="49"/>
      <c r="E6" s="49"/>
      <c r="F6" s="49"/>
    </row>
    <row r="7" spans="1:6" ht="42.75" customHeight="1" x14ac:dyDescent="0.45">
      <c r="A7" s="45" t="s">
        <v>2412</v>
      </c>
      <c r="B7" s="43" t="s">
        <v>2413</v>
      </c>
      <c r="C7" s="43" t="s">
        <v>2414</v>
      </c>
      <c r="D7" s="43" t="s">
        <v>2415</v>
      </c>
      <c r="E7" s="43" t="s">
        <v>2416</v>
      </c>
      <c r="F7" s="43" t="s">
        <v>2417</v>
      </c>
    </row>
    <row r="8" spans="1:6" ht="42.75" customHeight="1" x14ac:dyDescent="0.45">
      <c r="A8" s="45" t="s">
        <v>2418</v>
      </c>
      <c r="B8" s="43" t="s">
        <v>2419</v>
      </c>
      <c r="C8" s="43" t="s">
        <v>2420</v>
      </c>
      <c r="D8" s="43" t="s">
        <v>2421</v>
      </c>
      <c r="E8" s="43" t="s">
        <v>2422</v>
      </c>
      <c r="F8" s="43" t="s">
        <v>2423</v>
      </c>
    </row>
    <row r="9" spans="1:6" ht="42.75" customHeight="1" x14ac:dyDescent="0.45">
      <c r="A9" s="45" t="s">
        <v>2424</v>
      </c>
      <c r="B9" s="43" t="s">
        <v>2425</v>
      </c>
      <c r="C9" s="43" t="s">
        <v>2426</v>
      </c>
      <c r="D9" s="43" t="s">
        <v>2427</v>
      </c>
      <c r="E9" s="43" t="s">
        <v>2428</v>
      </c>
      <c r="F9" s="43" t="s">
        <v>2429</v>
      </c>
    </row>
    <row r="10" spans="1:6" ht="32.25" customHeight="1" x14ac:dyDescent="0.45">
      <c r="A10" s="45" t="s">
        <v>2430</v>
      </c>
      <c r="B10" s="43" t="s">
        <v>2431</v>
      </c>
      <c r="C10" s="43" t="s">
        <v>2432</v>
      </c>
      <c r="D10" s="43" t="s">
        <v>2433</v>
      </c>
      <c r="E10" s="43" t="s">
        <v>2434</v>
      </c>
      <c r="F10" s="43" t="s">
        <v>2435</v>
      </c>
    </row>
    <row r="11" spans="1:6" ht="42.75" customHeight="1" x14ac:dyDescent="0.45">
      <c r="A11" s="45" t="s">
        <v>2436</v>
      </c>
      <c r="B11" s="43" t="s">
        <v>2437</v>
      </c>
      <c r="C11" s="43" t="s">
        <v>2438</v>
      </c>
      <c r="D11" s="43" t="s">
        <v>2439</v>
      </c>
      <c r="E11" s="43" t="s">
        <v>2440</v>
      </c>
      <c r="F11" s="43" t="s">
        <v>2441</v>
      </c>
    </row>
    <row r="12" spans="1:6" ht="18" customHeight="1" x14ac:dyDescent="0.45">
      <c r="A12" s="49" t="s">
        <v>2442</v>
      </c>
      <c r="B12" s="49"/>
      <c r="C12" s="49"/>
      <c r="D12" s="49"/>
      <c r="E12" s="49"/>
      <c r="F12" s="49"/>
    </row>
    <row r="13" spans="1:6" ht="63.75" customHeight="1" x14ac:dyDescent="0.45">
      <c r="A13" s="45" t="s">
        <v>2443</v>
      </c>
      <c r="B13" s="43" t="s">
        <v>2444</v>
      </c>
      <c r="C13" s="43" t="s">
        <v>2445</v>
      </c>
      <c r="D13" s="43" t="s">
        <v>2446</v>
      </c>
      <c r="E13" s="43" t="s">
        <v>2447</v>
      </c>
      <c r="F13" s="43" t="s">
        <v>2448</v>
      </c>
    </row>
    <row r="14" spans="1:6" ht="32.25" customHeight="1" x14ac:dyDescent="0.45">
      <c r="A14" s="45" t="s">
        <v>2449</v>
      </c>
      <c r="B14" s="43" t="s">
        <v>2450</v>
      </c>
      <c r="C14" s="43" t="s">
        <v>2451</v>
      </c>
      <c r="D14" s="43" t="s">
        <v>2452</v>
      </c>
      <c r="E14" s="43" t="s">
        <v>2453</v>
      </c>
      <c r="F14" s="43" t="s">
        <v>2454</v>
      </c>
    </row>
    <row r="15" spans="1:6" ht="32.25" customHeight="1" x14ac:dyDescent="0.45">
      <c r="A15" s="45" t="s">
        <v>2455</v>
      </c>
      <c r="B15" s="43" t="s">
        <v>2456</v>
      </c>
      <c r="C15" s="43" t="s">
        <v>2457</v>
      </c>
      <c r="D15" s="43" t="s">
        <v>2458</v>
      </c>
      <c r="E15" s="43" t="s">
        <v>2459</v>
      </c>
      <c r="F15" s="43" t="s">
        <v>2460</v>
      </c>
    </row>
    <row r="16" spans="1:6" ht="32.25" customHeight="1" x14ac:dyDescent="0.45">
      <c r="A16" s="45" t="s">
        <v>2461</v>
      </c>
      <c r="B16" s="43" t="s">
        <v>2462</v>
      </c>
      <c r="C16" s="43" t="s">
        <v>2463</v>
      </c>
      <c r="D16" s="43" t="s">
        <v>2464</v>
      </c>
      <c r="E16" s="43" t="s">
        <v>2465</v>
      </c>
      <c r="F16" s="43" t="s">
        <v>2466</v>
      </c>
    </row>
    <row r="17" spans="1:6" ht="32.25" customHeight="1" x14ac:dyDescent="0.45">
      <c r="A17" s="45" t="s">
        <v>2467</v>
      </c>
      <c r="B17" s="43" t="s">
        <v>2468</v>
      </c>
      <c r="C17" s="43" t="s">
        <v>2469</v>
      </c>
      <c r="D17" s="43" t="s">
        <v>2470</v>
      </c>
      <c r="E17" s="43" t="s">
        <v>2471</v>
      </c>
      <c r="F17" s="43" t="s">
        <v>2472</v>
      </c>
    </row>
    <row r="18" spans="1:6" ht="21.75" customHeight="1" x14ac:dyDescent="0.45">
      <c r="A18" s="45" t="s">
        <v>2473</v>
      </c>
      <c r="B18" s="46" t="s">
        <v>2474</v>
      </c>
      <c r="C18" s="46" t="s">
        <v>2475</v>
      </c>
      <c r="D18" s="46" t="s">
        <v>2476</v>
      </c>
      <c r="E18" s="47" t="s">
        <v>2477</v>
      </c>
      <c r="F18" s="48" t="s">
        <v>2478</v>
      </c>
    </row>
    <row r="19" spans="1:6" ht="18" customHeight="1" x14ac:dyDescent="0.45">
      <c r="A19" s="49" t="s">
        <v>2479</v>
      </c>
      <c r="B19" s="49"/>
      <c r="C19" s="49"/>
      <c r="D19" s="49"/>
      <c r="E19" s="49"/>
      <c r="F19" s="49"/>
    </row>
    <row r="20" spans="1:6" ht="15" customHeight="1" x14ac:dyDescent="0.45">
      <c r="A20" s="45" t="s">
        <v>2480</v>
      </c>
      <c r="B20" s="43" t="s">
        <v>2481</v>
      </c>
      <c r="C20" s="43" t="s">
        <v>2482</v>
      </c>
      <c r="D20" s="43" t="s">
        <v>2483</v>
      </c>
      <c r="E20" s="43" t="s">
        <v>2484</v>
      </c>
      <c r="F20" s="43" t="s">
        <v>2485</v>
      </c>
    </row>
    <row r="21" spans="1:6" ht="21.75" customHeight="1" x14ac:dyDescent="0.45">
      <c r="A21" s="45" t="s">
        <v>2486</v>
      </c>
      <c r="B21" s="43" t="s">
        <v>2487</v>
      </c>
      <c r="C21" s="43" t="s">
        <v>2488</v>
      </c>
      <c r="D21" s="43" t="s">
        <v>2489</v>
      </c>
      <c r="E21" s="43" t="s">
        <v>2490</v>
      </c>
      <c r="F21" s="43" t="s">
        <v>2491</v>
      </c>
    </row>
    <row r="22" spans="1:6" ht="15" customHeight="1" x14ac:dyDescent="0.45">
      <c r="A22" s="45" t="s">
        <v>2492</v>
      </c>
      <c r="B22" s="46" t="s">
        <v>2493</v>
      </c>
      <c r="C22" s="48" t="s">
        <v>2494</v>
      </c>
      <c r="D22" s="48" t="s">
        <v>2495</v>
      </c>
      <c r="E22" s="46" t="s">
        <v>2496</v>
      </c>
      <c r="F22" s="48" t="s">
        <v>2497</v>
      </c>
    </row>
    <row r="23" spans="1:6" ht="15" customHeight="1" x14ac:dyDescent="0.45">
      <c r="A23" s="45" t="s">
        <v>2498</v>
      </c>
      <c r="B23" s="43" t="s">
        <v>2499</v>
      </c>
      <c r="C23" s="43" t="s">
        <v>2500</v>
      </c>
      <c r="D23" s="43" t="s">
        <v>2501</v>
      </c>
      <c r="E23" s="43" t="s">
        <v>2502</v>
      </c>
      <c r="F23" s="43" t="s">
        <v>2503</v>
      </c>
    </row>
    <row r="24" spans="1:6" ht="15" customHeight="1" x14ac:dyDescent="0.45">
      <c r="A24" s="45" t="s">
        <v>2504</v>
      </c>
      <c r="B24" s="46" t="s">
        <v>2505</v>
      </c>
      <c r="C24" s="46" t="s">
        <v>2506</v>
      </c>
      <c r="D24" s="48" t="s">
        <v>2507</v>
      </c>
      <c r="E24" s="46" t="s">
        <v>2508</v>
      </c>
      <c r="F24" s="48" t="s">
        <v>2509</v>
      </c>
    </row>
    <row r="25" spans="1:6" ht="32.25" customHeight="1" x14ac:dyDescent="0.45">
      <c r="A25" s="45" t="s">
        <v>2510</v>
      </c>
      <c r="B25" s="47" t="s">
        <v>2511</v>
      </c>
      <c r="C25" s="46" t="s">
        <v>2512</v>
      </c>
      <c r="D25" s="46" t="s">
        <v>2513</v>
      </c>
      <c r="E25" s="47" t="s">
        <v>2514</v>
      </c>
      <c r="F25" s="48" t="s">
        <v>2515</v>
      </c>
    </row>
    <row r="26" spans="1:6" ht="15" customHeight="1" x14ac:dyDescent="0.45">
      <c r="A26" s="45" t="s">
        <v>2516</v>
      </c>
      <c r="B26" s="46" t="s">
        <v>2100</v>
      </c>
      <c r="C26" s="46" t="s">
        <v>2100</v>
      </c>
      <c r="D26" s="46" t="s">
        <v>1993</v>
      </c>
      <c r="E26" s="46" t="s">
        <v>1993</v>
      </c>
      <c r="F26" s="48" t="s">
        <v>2115</v>
      </c>
    </row>
    <row r="27" spans="1:6" ht="18" customHeight="1" x14ac:dyDescent="0.45">
      <c r="A27" s="49" t="s">
        <v>2517</v>
      </c>
      <c r="B27" s="49"/>
      <c r="C27" s="49"/>
      <c r="D27" s="49"/>
      <c r="E27" s="49"/>
      <c r="F27" s="49"/>
    </row>
    <row r="28" spans="1:6" ht="42.75" customHeight="1" x14ac:dyDescent="0.45">
      <c r="A28" s="45" t="s">
        <v>2518</v>
      </c>
      <c r="B28" s="43" t="s">
        <v>2519</v>
      </c>
      <c r="C28" s="43" t="s">
        <v>2520</v>
      </c>
      <c r="D28" s="43" t="s">
        <v>2521</v>
      </c>
      <c r="E28" s="43" t="s">
        <v>2522</v>
      </c>
      <c r="F28" s="43" t="s">
        <v>2523</v>
      </c>
    </row>
  </sheetData>
  <mergeCells count="5">
    <mergeCell ref="A2:F2"/>
    <mergeCell ref="A6:F6"/>
    <mergeCell ref="A12:F12"/>
    <mergeCell ref="A19:F19"/>
    <mergeCell ref="A27:F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54</vt:i4>
      </vt:variant>
    </vt:vector>
  </HeadingPairs>
  <TitlesOfParts>
    <vt:vector size="54" baseType="lpstr">
      <vt:lpstr>README</vt:lpstr>
      <vt:lpstr>README_v3</vt:lpstr>
      <vt:lpstr>DT_Client_Master</vt:lpstr>
      <vt:lpstr>DT_KYC_Restrictions</vt:lpstr>
      <vt:lpstr>DT_Coverage</vt:lpstr>
      <vt:lpstr>DT_CRM_Activity</vt:lpstr>
      <vt:lpstr>DT_Trading_Activity</vt:lpstr>
      <vt:lpstr>DT_Quote_Data</vt:lpstr>
      <vt:lpstr>DT_Revenue</vt:lpstr>
      <vt:lpstr>DT_Product_Holdings</vt:lpstr>
      <vt:lpstr>DT_Pipeline</vt:lpstr>
      <vt:lpstr>DT_Digital_Usage</vt:lpstr>
      <vt:lpstr>DT_Limits_Credit</vt:lpstr>
      <vt:lpstr>DT_Credit_Margin</vt:lpstr>
      <vt:lpstr>DT_Behavioral_Memory</vt:lpstr>
      <vt:lpstr>DT_Simulation</vt:lpstr>
      <vt:lpstr>DT_Detected_Opportunities</vt:lpstr>
      <vt:lpstr>CA_Ext_CompanyFilings</vt:lpstr>
      <vt:lpstr>CA_Ext_News</vt:lpstr>
      <vt:lpstr>CA_Ext_Deals</vt:lpstr>
      <vt:lpstr>CA_Market_Data</vt:lpstr>
      <vt:lpstr>CA_Sector_Benchmark</vt:lpstr>
      <vt:lpstr>CA_People_Data</vt:lpstr>
      <vt:lpstr>CA_Sustainability</vt:lpstr>
      <vt:lpstr>CA_KPI_Triggers</vt:lpstr>
      <vt:lpstr>CA_Signal_Detection</vt:lpstr>
      <vt:lpstr>CA_Opportunity_Scoring</vt:lpstr>
      <vt:lpstr>PB_Selected_Opportunity</vt:lpstr>
      <vt:lpstr>PB_Situation_Triggers</vt:lpstr>
      <vt:lpstr>PB_Company_Description</vt:lpstr>
      <vt:lpstr>PB_Products_Services</vt:lpstr>
      <vt:lpstr>PB_Key_Stats</vt:lpstr>
      <vt:lpstr>PB_Key_Management</vt:lpstr>
      <vt:lpstr>PB_Select_Customers</vt:lpstr>
      <vt:lpstr>PB_Content_Library</vt:lpstr>
      <vt:lpstr>PB_Generated_Pitchbooks</vt:lpstr>
      <vt:lpstr>Cand5_Client_Master</vt:lpstr>
      <vt:lpstr>DT_Treasury_Hedge_Policy</vt:lpstr>
      <vt:lpstr>DT_Cashflow_By_Currency</vt:lpstr>
      <vt:lpstr>DT_Debt_Derivatives_Register</vt:lpstr>
      <vt:lpstr>Ref_Service_Catalogue</vt:lpstr>
      <vt:lpstr>DT_Mandates_Wallet</vt:lpstr>
      <vt:lpstr>CA_Opportunity_Lifecycle</vt:lpstr>
      <vt:lpstr>CA_Subsequent_Events</vt:lpstr>
      <vt:lpstr>Mkt_Rates_Curves</vt:lpstr>
      <vt:lpstr>Mkt_FX_Fwd_Vol_Surface</vt:lpstr>
      <vt:lpstr>Mkt_Commodity_Curves</vt:lpstr>
      <vt:lpstr>Ext_Credit_Spreads</vt:lpstr>
      <vt:lpstr>Ctx_House_Views</vt:lpstr>
      <vt:lpstr>Meta_Provenance</vt:lpstr>
      <vt:lpstr>Meta_Entitlements_IB</vt:lpstr>
      <vt:lpstr>Cfg_Signal_Definitions</vt:lpstr>
      <vt:lpstr>Ref_Peer_Set_Membership</vt:lpstr>
      <vt:lpstr>Consolidated_Opportunity_Matrix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Pathak, Rajarshi (Cognizant)</cp:lastModifiedBy>
  <cp:revision>0</cp:revision>
  <dcterms:created xsi:type="dcterms:W3CDTF">2026-07-27T09:18:47Z</dcterms:created>
  <dcterms:modified xsi:type="dcterms:W3CDTF">2026-08-20T18:46:33Z</dcterms:modified>
  <cp:category/>
  <cp:contentStatus/>
</cp:coreProperties>
</file>